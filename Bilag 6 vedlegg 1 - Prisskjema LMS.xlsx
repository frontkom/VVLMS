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gvesen.sharepoint.com/sites/arb-Laeringsplattform2025/Delte dokumenter/General/30 Anskaffelse/01 ANSK arbeidsdokumenter/z_til kvalitetssikring/"/>
    </mc:Choice>
  </mc:AlternateContent>
  <xr:revisionPtr revIDLastSave="523" documentId="8_{B4298F69-29CC-4746-BEEC-32891022D163}" xr6:coauthVersionLast="47" xr6:coauthVersionMax="47" xr10:uidLastSave="{F1A3A41B-BB14-48EB-AB6D-1B1D5C81600A}"/>
  <bookViews>
    <workbookView xWindow="-9810" yWindow="-21710" windowWidth="38620" windowHeight="21100" xr2:uid="{3A86CB4C-A8B0-4083-A334-9071013E72E6}"/>
  </bookViews>
  <sheets>
    <sheet name="DOK.LØSNING" sheetId="5" r:id="rId1"/>
  </sheets>
  <definedNames>
    <definedName name="_xlnm.Print_Area" localSheetId="0">DOK.LØSNING!$B$1:$L$104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5" l="1"/>
  <c r="D24" i="5"/>
  <c r="D25" i="5"/>
  <c r="D22" i="5"/>
  <c r="E22" i="5" s="1"/>
  <c r="I77" i="5" l="1"/>
  <c r="I57" i="5"/>
  <c r="I58" i="5"/>
  <c r="I59" i="5"/>
  <c r="I61" i="5"/>
  <c r="C18" i="5"/>
  <c r="D62" i="5"/>
  <c r="E62" i="5"/>
  <c r="F62" i="5"/>
  <c r="G62" i="5"/>
  <c r="C62" i="5"/>
  <c r="H62" i="5" l="1"/>
  <c r="C98" i="5"/>
  <c r="I78" i="5" l="1"/>
  <c r="C103" i="5" s="1"/>
  <c r="I62" i="5"/>
  <c r="C102" i="5" s="1"/>
  <c r="E91" i="5"/>
  <c r="E92" i="5"/>
  <c r="E90" i="5"/>
  <c r="E93" i="5" l="1"/>
  <c r="D48" i="5" l="1"/>
  <c r="E48" i="5" s="1"/>
  <c r="D47" i="5"/>
  <c r="E47" i="5" s="1"/>
  <c r="D46" i="5"/>
  <c r="E46" i="5" s="1"/>
  <c r="D45" i="5"/>
  <c r="E45" i="5" s="1"/>
  <c r="D30" i="5"/>
  <c r="E30" i="5" s="1"/>
  <c r="E24" i="5"/>
  <c r="E25" i="5"/>
  <c r="D31" i="5"/>
  <c r="E31" i="5" s="1"/>
  <c r="E49" i="5" l="1"/>
  <c r="C101" i="5" s="1"/>
  <c r="E32" i="5"/>
  <c r="C100" i="5" s="1"/>
  <c r="E26" i="5"/>
  <c r="C99" i="5" s="1"/>
  <c r="C10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Knud Eddie Nordin</author>
  </authors>
  <commentList>
    <comment ref="B59" authorId="0" shapeId="0" xr:uid="{930C99A1-C242-4A0A-8640-9CA3777AB474}">
      <text>
        <r>
          <rPr>
            <b/>
            <sz val="9"/>
            <color indexed="81"/>
            <rFont val="Tahoma"/>
            <family val="2"/>
          </rPr>
          <t>Knud Eddie Nordin:</t>
        </r>
        <r>
          <rPr>
            <sz val="9"/>
            <color indexed="81"/>
            <rFont val="Tahoma"/>
            <family val="2"/>
          </rPr>
          <t xml:space="preserve">
Sjekk med testleder om dette er fornuftig
Ref "Oppgradering/vedliehold av tjenesten etter leveringsdag.</t>
        </r>
      </text>
    </comment>
  </commentList>
</comments>
</file>

<file path=xl/sharedStrings.xml><?xml version="1.0" encoding="utf-8"?>
<sst xmlns="http://schemas.openxmlformats.org/spreadsheetml/2006/main" count="98" uniqueCount="80">
  <si>
    <t>Fastpris</t>
  </si>
  <si>
    <t>DELSUM 1A</t>
  </si>
  <si>
    <t>Antall timer</t>
  </si>
  <si>
    <t>SUM</t>
  </si>
  <si>
    <t>DELSUM 1B</t>
  </si>
  <si>
    <t>Avtaleperiode</t>
  </si>
  <si>
    <t>Opsjon</t>
  </si>
  <si>
    <t>DELSUM 1E</t>
  </si>
  <si>
    <t>1A</t>
  </si>
  <si>
    <t>1B</t>
  </si>
  <si>
    <t>1C</t>
  </si>
  <si>
    <t>1E</t>
  </si>
  <si>
    <t>Sum</t>
  </si>
  <si>
    <t xml:space="preserve">Totalpris kontrakt </t>
  </si>
  <si>
    <t>Konsulentnivå 3 (Konsulent med mer enn 8 års relevant erfaring) </t>
  </si>
  <si>
    <t>Konsulentnivå 2 (Konsulent med mer enn 4 og mindre enn 8 års relevant erfaring) </t>
  </si>
  <si>
    <t>Konsulentnivå 1 (Konsulent med inntil 4 års relevant erfaring) </t>
  </si>
  <si>
    <t>Timespris</t>
  </si>
  <si>
    <t>Estimert fordeling</t>
  </si>
  <si>
    <t>Pris</t>
  </si>
  <si>
    <t>TILBUDSSUM</t>
  </si>
  <si>
    <t>Antall timer
Estimat</t>
  </si>
  <si>
    <t xml:space="preserve">Fra </t>
  </si>
  <si>
    <t>Til</t>
  </si>
  <si>
    <t>Trinn 1</t>
  </si>
  <si>
    <t>Trinn 2</t>
  </si>
  <si>
    <t>Trinn 3</t>
  </si>
  <si>
    <t>Alle orange felt skal fylles ut av leverandør</t>
  </si>
  <si>
    <t>&lt; evt ytterligere trinn fylles ut av leverandør &gt;</t>
  </si>
  <si>
    <r>
      <t xml:space="preserve">Grønne felt er estimert mengde som leverandør </t>
    </r>
    <r>
      <rPr>
        <b/>
        <u/>
        <sz val="18"/>
        <rFont val="Arial"/>
        <family val="2"/>
      </rPr>
      <t xml:space="preserve">ikke </t>
    </r>
    <r>
      <rPr>
        <b/>
        <sz val="18"/>
        <rFont val="Arial"/>
        <family val="2"/>
      </rPr>
      <t>skal endre</t>
    </r>
  </si>
  <si>
    <t>&lt; evt ytterligere trinn fylles ut av leverandør &gt; (Legg til ekstra linjer dersom det er behov)</t>
  </si>
  <si>
    <t xml:space="preserve"> &lt; Aktivitet fylles ut av leverandør&gt; (Legg til ekstra linjer dersom det er behov)</t>
  </si>
  <si>
    <t>Site lisens. Ref kap 6.4.2, her angis eventuell site-lisens og betingelser for denne.</t>
  </si>
  <si>
    <t>Snitt timepris</t>
  </si>
  <si>
    <t>Site-lisens (ubegrenset brukere)</t>
  </si>
  <si>
    <t>1C. Kostnader for leveranser etter leveringsdag  - etter medgått tid</t>
  </si>
  <si>
    <t>Bilag 6, vedlegg 1 - Prisskjema - anskaffelse læringsplattform/LMS</t>
  </si>
  <si>
    <t>L02 Gjennomføre behovsanalyse og forankring med divisjoner og fagmiljøer for å definere hensiktsmessige læringsflater, roller, struktur og prinsipper for innholdsforvaltning.</t>
  </si>
  <si>
    <t>L03 Løsningen konfigurert i henhold til SVVs krav og leverandørens løsningsbeskrivelse.</t>
  </si>
  <si>
    <t>L04 Rollebasert tilgangsstyring etablert med støtte for SVVs SSO‑mekanismer.</t>
  </si>
  <si>
    <t>L01 Oppstartsfasen gjennomført med felles testplan og akseptansekriterier.</t>
  </si>
  <si>
    <t>L05 Integrasjon mot Servicenow etablert for synkronisering av roller, ferdigheter og læringslogg.</t>
  </si>
  <si>
    <t>L06 Integrasjon mot Power BI etablert.</t>
  </si>
  <si>
    <t>L08 Migrert læringsinnhold og læringsdata fra Kilden til ny LMS‑løsning.</t>
  </si>
  <si>
    <t>L10 Planlagt, gjennomført og dokumentert akseptansetest iht. omforent testplan.</t>
  </si>
  <si>
    <t>1A. Kostnader for leveranser frem til leveringsdag - Fastpris</t>
  </si>
  <si>
    <t>1B. Kostnader for leveranser frem til leveringsdag  - etter medgått tid</t>
  </si>
  <si>
    <t>L24 Integrasjon mot arkiv- og journalsystem Mime</t>
  </si>
  <si>
    <t>L11 Support og brukerstøtte etablert etter leveranse.</t>
  </si>
  <si>
    <t>L23 Integrert betalingsløsning som opsjon.</t>
  </si>
  <si>
    <t xml:space="preserve">L21 Kurs- og kompetanseportal for arbeidsvarsling vinterdrift og skred. </t>
  </si>
  <si>
    <t>L22 Etablere integrasjon med eTeori.</t>
  </si>
  <si>
    <t>L12 Bistand til endringer og tillegg i løsningen i avtaleperioden.</t>
  </si>
  <si>
    <t>L33 Øvrige opsjoner (fylles evt ut av Leverandør)</t>
  </si>
  <si>
    <t>L32 Øvrige opsjoner (fylles evt ut av Leverandør)</t>
  </si>
  <si>
    <t>L31 Øvrige opsjoner (fylles evt ut av Leverandør)</t>
  </si>
  <si>
    <t>1E. Kostnader for opsjoner - etter medgått tid</t>
  </si>
  <si>
    <t>1F. Programvarelisenser/Leie av programvare/Skytjenestekostnader  -           i drift - priser pr år - underlag brukere og datamengde</t>
  </si>
  <si>
    <t>1G. Brukerstøtte/support - i drift - fastpris</t>
  </si>
  <si>
    <t>1H. Timespriser - leveranser før leveringsdag</t>
  </si>
  <si>
    <t>1I. Timespriser - bistand i avtaleperioden</t>
  </si>
  <si>
    <t>1F</t>
  </si>
  <si>
    <t>1G</t>
  </si>
  <si>
    <t>DELSUM 1C</t>
  </si>
  <si>
    <t>DELSUM 1F</t>
  </si>
  <si>
    <t>DELSUM 1G</t>
  </si>
  <si>
    <t>DELSUM 1I - Gjennomsnittlig timespris - overføres automatisk til tabell 1C</t>
  </si>
  <si>
    <t>Timespris snitt fra tabell 1I</t>
  </si>
  <si>
    <t>Timespris fra tabell 1H</t>
  </si>
  <si>
    <t>Alle kronebeløp oppgis eks.mva.</t>
  </si>
  <si>
    <t>L07 Læringsflater konfigurert i tråd med den forankrede læringsarkitekturen, inkludert struktur, inndeling, rolle- og redaktørmodeller, tilgangsnivåer og prinsipper for innholdsforvaltning.</t>
  </si>
  <si>
    <r>
      <t xml:space="preserve">1D. Kostnader for opsjoner etter leveringsdag - inngår </t>
    </r>
    <r>
      <rPr>
        <b/>
        <u/>
        <sz val="12"/>
        <rFont val="Arial"/>
        <family val="2"/>
      </rPr>
      <t>ikke</t>
    </r>
    <r>
      <rPr>
        <b/>
        <sz val="12"/>
        <rFont val="Arial"/>
        <family val="2"/>
      </rPr>
      <t xml:space="preserve"> i evalueringsgrunnlaget.</t>
    </r>
  </si>
  <si>
    <t>evt. Lisenser for eksterne brukere</t>
  </si>
  <si>
    <t xml:space="preserve"> &lt; Andre lisenstyper fylles ut av leverandør&gt; (Legg til ekstra linjer dersom det er behov)</t>
  </si>
  <si>
    <t>Oppdatert testmiljø ifm vesentlige oppgraderinger og feilrettinger jfr kap 1.5 i bilag 1, kapittel 3.3 i bilag 3, og 6.2 i bilag 6</t>
  </si>
  <si>
    <t>Dersom leverandør har en trappetrinnsmodell for prising av brukere, så angis dette her:</t>
  </si>
  <si>
    <t>evt. Lisenser for brukere ansatt i SVV (SSO) (5300 brukere)</t>
  </si>
  <si>
    <t>evt. Lisenser for innleide og konsulenter (SSO) (1100 brukere)</t>
  </si>
  <si>
    <t xml:space="preserve">1F-1 Leverandørens prismodell for prising av brukere </t>
  </si>
  <si>
    <t>L09 Kurs- og opplæringsdokumentasjon levert og tilgjengeliggjort, administratorer og superbrukere opplært og klare for drift og forvaltning.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</si>
</sst>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color rgb="FFFFFFFF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i/>
      <sz val="12"/>
      <name val="Arial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b/>
      <u/>
      <sz val="18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/>
        <bgColor rgb="FF000000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9" fillId="0" borderId="0" xfId="0" applyFont="1" applyAlignment="1">
      <alignment horizontal="right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3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5" fillId="0" borderId="0" xfId="0" applyFont="1" applyAlignment="1">
      <alignment horizontal="left" vertical="top" wrapText="1"/>
    </xf>
    <xf numFmtId="0" fontId="8" fillId="0" borderId="0" xfId="0" applyFont="1"/>
    <xf numFmtId="3" fontId="9" fillId="0" borderId="3" xfId="0" applyNumberFormat="1" applyFont="1" applyBorder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/>
    <xf numFmtId="3" fontId="9" fillId="6" borderId="3" xfId="0" applyNumberFormat="1" applyFont="1" applyFill="1" applyBorder="1" applyAlignment="1">
      <alignment wrapText="1"/>
    </xf>
    <xf numFmtId="3" fontId="9" fillId="6" borderId="14" xfId="0" applyNumberFormat="1" applyFont="1" applyFill="1" applyBorder="1" applyAlignment="1">
      <alignment wrapText="1"/>
    </xf>
    <xf numFmtId="0" fontId="9" fillId="0" borderId="26" xfId="0" applyFont="1" applyBorder="1" applyAlignment="1">
      <alignment wrapText="1"/>
    </xf>
    <xf numFmtId="3" fontId="9" fillId="6" borderId="10" xfId="0" applyNumberFormat="1" applyFont="1" applyFill="1" applyBorder="1" applyAlignment="1">
      <alignment wrapText="1"/>
    </xf>
    <xf numFmtId="0" fontId="12" fillId="0" borderId="26" xfId="0" applyFont="1" applyBorder="1" applyAlignment="1">
      <alignment wrapText="1"/>
    </xf>
    <xf numFmtId="3" fontId="9" fillId="0" borderId="10" xfId="0" applyNumberFormat="1" applyFont="1" applyBorder="1" applyAlignment="1">
      <alignment horizontal="right"/>
    </xf>
    <xf numFmtId="0" fontId="7" fillId="9" borderId="11" xfId="0" applyFont="1" applyFill="1" applyBorder="1" applyAlignment="1">
      <alignment wrapText="1"/>
    </xf>
    <xf numFmtId="3" fontId="7" fillId="9" borderId="27" xfId="0" applyNumberFormat="1" applyFont="1" applyFill="1" applyBorder="1"/>
    <xf numFmtId="0" fontId="7" fillId="8" borderId="5" xfId="0" applyFont="1" applyFill="1" applyBorder="1" applyAlignment="1">
      <alignment wrapText="1"/>
    </xf>
    <xf numFmtId="0" fontId="7" fillId="10" borderId="5" xfId="0" applyFont="1" applyFill="1" applyBorder="1" applyAlignment="1">
      <alignment wrapText="1"/>
    </xf>
    <xf numFmtId="3" fontId="7" fillId="4" borderId="0" xfId="0" applyNumberFormat="1" applyFont="1" applyFill="1"/>
    <xf numFmtId="0" fontId="7" fillId="8" borderId="8" xfId="0" applyFont="1" applyFill="1" applyBorder="1" applyAlignment="1">
      <alignment vertical="center" wrapText="1"/>
    </xf>
    <xf numFmtId="0" fontId="7" fillId="8" borderId="2" xfId="0" applyFont="1" applyFill="1" applyBorder="1" applyAlignment="1">
      <alignment vertical="center"/>
    </xf>
    <xf numFmtId="0" fontId="9" fillId="0" borderId="30" xfId="0" applyFont="1" applyBorder="1" applyAlignment="1">
      <alignment wrapText="1"/>
    </xf>
    <xf numFmtId="3" fontId="7" fillId="9" borderId="29" xfId="0" applyNumberFormat="1" applyFont="1" applyFill="1" applyBorder="1"/>
    <xf numFmtId="0" fontId="7" fillId="3" borderId="18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wrapText="1"/>
    </xf>
    <xf numFmtId="3" fontId="9" fillId="6" borderId="10" xfId="0" applyNumberFormat="1" applyFont="1" applyFill="1" applyBorder="1"/>
    <xf numFmtId="0" fontId="15" fillId="0" borderId="0" xfId="0" applyFont="1"/>
    <xf numFmtId="0" fontId="12" fillId="0" borderId="9" xfId="0" applyFont="1" applyBorder="1"/>
    <xf numFmtId="3" fontId="9" fillId="0" borderId="10" xfId="0" applyNumberFormat="1" applyFont="1" applyBorder="1" applyAlignment="1">
      <alignment wrapText="1"/>
    </xf>
    <xf numFmtId="0" fontId="7" fillId="8" borderId="18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center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7" fillId="9" borderId="29" xfId="0" applyFont="1" applyFill="1" applyBorder="1"/>
    <xf numFmtId="0" fontId="2" fillId="2" borderId="1" xfId="0" applyFont="1" applyFill="1" applyBorder="1" applyAlignment="1">
      <alignment vertical="center"/>
    </xf>
    <xf numFmtId="0" fontId="19" fillId="0" borderId="0" xfId="0" applyFont="1"/>
    <xf numFmtId="0" fontId="2" fillId="0" borderId="0" xfId="0" applyFont="1" applyAlignment="1">
      <alignment vertical="center"/>
    </xf>
    <xf numFmtId="0" fontId="18" fillId="0" borderId="0" xfId="0" applyFont="1"/>
    <xf numFmtId="0" fontId="15" fillId="5" borderId="0" xfId="0" applyFont="1" applyFill="1"/>
    <xf numFmtId="0" fontId="21" fillId="0" borderId="0" xfId="0" applyFont="1"/>
    <xf numFmtId="0" fontId="20" fillId="0" borderId="0" xfId="0" applyFont="1" applyAlignment="1">
      <alignment horizontal="left" vertical="top" wrapText="1"/>
    </xf>
    <xf numFmtId="0" fontId="7" fillId="3" borderId="18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7" fillId="8" borderId="23" xfId="0" applyFont="1" applyFill="1" applyBorder="1" applyAlignment="1">
      <alignment horizont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right" wrapText="1"/>
    </xf>
    <xf numFmtId="0" fontId="7" fillId="10" borderId="33" xfId="0" applyFont="1" applyFill="1" applyBorder="1" applyAlignment="1">
      <alignment horizontal="center" wrapText="1"/>
    </xf>
    <xf numFmtId="3" fontId="11" fillId="6" borderId="3" xfId="0" applyNumberFormat="1" applyFont="1" applyFill="1" applyBorder="1" applyAlignment="1">
      <alignment horizontal="right"/>
    </xf>
    <xf numFmtId="3" fontId="9" fillId="6" borderId="3" xfId="0" applyNumberFormat="1" applyFont="1" applyFill="1" applyBorder="1" applyAlignment="1">
      <alignment horizontal="right"/>
    </xf>
    <xf numFmtId="3" fontId="9" fillId="6" borderId="31" xfId="0" applyNumberFormat="1" applyFont="1" applyFill="1" applyBorder="1" applyAlignment="1">
      <alignment horizontal="right"/>
    </xf>
    <xf numFmtId="3" fontId="10" fillId="9" borderId="29" xfId="0" applyNumberFormat="1" applyFont="1" applyFill="1" applyBorder="1"/>
    <xf numFmtId="3" fontId="7" fillId="0" borderId="3" xfId="0" applyNumberFormat="1" applyFont="1" applyBorder="1"/>
    <xf numFmtId="3" fontId="7" fillId="0" borderId="10" xfId="0" applyNumberFormat="1" applyFont="1" applyBorder="1"/>
    <xf numFmtId="3" fontId="7" fillId="0" borderId="4" xfId="0" applyNumberFormat="1" applyFont="1" applyBorder="1"/>
    <xf numFmtId="3" fontId="7" fillId="0" borderId="32" xfId="0" applyNumberFormat="1" applyFont="1" applyBorder="1"/>
    <xf numFmtId="3" fontId="7" fillId="0" borderId="12" xfId="0" applyNumberFormat="1" applyFont="1" applyBorder="1"/>
    <xf numFmtId="3" fontId="7" fillId="0" borderId="13" xfId="0" applyNumberFormat="1" applyFont="1" applyBorder="1"/>
    <xf numFmtId="3" fontId="15" fillId="6" borderId="3" xfId="0" applyNumberFormat="1" applyFont="1" applyFill="1" applyBorder="1"/>
    <xf numFmtId="3" fontId="15" fillId="0" borderId="10" xfId="0" applyNumberFormat="1" applyFont="1" applyBorder="1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9" fillId="5" borderId="0" xfId="0" applyFont="1" applyFill="1"/>
    <xf numFmtId="0" fontId="18" fillId="5" borderId="0" xfId="0" applyFont="1" applyFill="1"/>
    <xf numFmtId="0" fontId="7" fillId="5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5" borderId="0" xfId="0" applyFont="1" applyFill="1"/>
    <xf numFmtId="0" fontId="7" fillId="5" borderId="0" xfId="0" applyFont="1" applyFill="1" applyAlignment="1">
      <alignment vertical="center"/>
    </xf>
    <xf numFmtId="0" fontId="15" fillId="0" borderId="30" xfId="0" applyFont="1" applyBorder="1" applyAlignment="1">
      <alignment wrapText="1"/>
    </xf>
    <xf numFmtId="3" fontId="9" fillId="7" borderId="3" xfId="0" applyNumberFormat="1" applyFont="1" applyFill="1" applyBorder="1" applyAlignment="1">
      <alignment horizontal="center" wrapText="1"/>
    </xf>
    <xf numFmtId="3" fontId="15" fillId="6" borderId="10" xfId="0" applyNumberFormat="1" applyFont="1" applyFill="1" applyBorder="1"/>
    <xf numFmtId="0" fontId="9" fillId="0" borderId="34" xfId="0" applyFont="1" applyBorder="1" applyAlignment="1">
      <alignment wrapText="1"/>
    </xf>
    <xf numFmtId="3" fontId="15" fillId="6" borderId="13" xfId="0" applyNumberFormat="1" applyFont="1" applyFill="1" applyBorder="1"/>
    <xf numFmtId="3" fontId="10" fillId="4" borderId="0" xfId="0" applyNumberFormat="1" applyFont="1" applyFill="1"/>
    <xf numFmtId="0" fontId="12" fillId="0" borderId="0" xfId="0" applyFont="1" applyAlignment="1">
      <alignment wrapText="1"/>
    </xf>
    <xf numFmtId="3" fontId="7" fillId="0" borderId="0" xfId="0" applyNumberFormat="1" applyFont="1"/>
    <xf numFmtId="9" fontId="9" fillId="0" borderId="3" xfId="0" applyNumberFormat="1" applyFont="1" applyBorder="1" applyAlignment="1">
      <alignment horizontal="center"/>
    </xf>
    <xf numFmtId="0" fontId="4" fillId="7" borderId="0" xfId="0" applyFont="1" applyFill="1" applyAlignment="1">
      <alignment horizontal="left" vertical="center"/>
    </xf>
    <xf numFmtId="3" fontId="4" fillId="6" borderId="0" xfId="0" applyNumberFormat="1" applyFont="1" applyFill="1" applyAlignment="1">
      <alignment horizontal="left" wrapText="1"/>
    </xf>
    <xf numFmtId="0" fontId="7" fillId="3" borderId="18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left" wrapText="1"/>
    </xf>
    <xf numFmtId="0" fontId="3" fillId="8" borderId="18" xfId="0" applyFont="1" applyFill="1" applyBorder="1" applyAlignment="1">
      <alignment horizontal="left" vertical="center" wrapText="1"/>
    </xf>
    <xf numFmtId="0" fontId="3" fillId="8" borderId="24" xfId="0" applyFont="1" applyFill="1" applyBorder="1" applyAlignment="1">
      <alignment horizontal="left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7" fillId="8" borderId="25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left" vertical="center" wrapText="1"/>
    </xf>
    <xf numFmtId="0" fontId="7" fillId="8" borderId="24" xfId="0" applyFont="1" applyFill="1" applyBorder="1" applyAlignment="1">
      <alignment horizontal="left" vertical="center" wrapText="1"/>
    </xf>
    <xf numFmtId="0" fontId="7" fillId="8" borderId="15" xfId="0" applyFont="1" applyFill="1" applyBorder="1" applyAlignment="1">
      <alignment horizontal="center" wrapText="1"/>
    </xf>
    <xf numFmtId="0" fontId="7" fillId="8" borderId="16" xfId="0" applyFont="1" applyFill="1" applyBorder="1" applyAlignment="1">
      <alignment horizontal="center" wrapText="1"/>
    </xf>
    <xf numFmtId="0" fontId="7" fillId="8" borderId="17" xfId="0" applyFont="1" applyFill="1" applyBorder="1" applyAlignment="1">
      <alignment horizontal="center" wrapText="1"/>
    </xf>
    <xf numFmtId="0" fontId="7" fillId="10" borderId="15" xfId="0" applyFont="1" applyFill="1" applyBorder="1" applyAlignment="1">
      <alignment horizontal="center" wrapText="1"/>
    </xf>
    <xf numFmtId="0" fontId="7" fillId="10" borderId="16" xfId="0" applyFont="1" applyFill="1" applyBorder="1" applyAlignment="1">
      <alignment horizontal="center" wrapText="1"/>
    </xf>
    <xf numFmtId="0" fontId="7" fillId="8" borderId="23" xfId="0" applyFont="1" applyFill="1" applyBorder="1" applyAlignment="1">
      <alignment horizontal="center" wrapText="1"/>
    </xf>
    <xf numFmtId="0" fontId="7" fillId="8" borderId="25" xfId="0" applyFont="1" applyFill="1" applyBorder="1" applyAlignment="1">
      <alignment horizontal="center" wrapText="1"/>
    </xf>
    <xf numFmtId="0" fontId="7" fillId="8" borderId="28" xfId="0" applyFont="1" applyFill="1" applyBorder="1" applyAlignment="1">
      <alignment horizontal="center" wrapText="1"/>
    </xf>
    <xf numFmtId="0" fontId="7" fillId="8" borderId="6" xfId="0" applyFont="1" applyFill="1" applyBorder="1" applyAlignment="1">
      <alignment horizontal="center" wrapText="1"/>
    </xf>
    <xf numFmtId="0" fontId="20" fillId="0" borderId="0" xfId="0" applyFont="1" applyAlignment="1">
      <alignment horizontal="left" vertical="top" wrapText="1"/>
    </xf>
    <xf numFmtId="0" fontId="12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EDED"/>
      <color rgb="FFEBC8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846101</xdr:colOff>
      <xdr:row>19</xdr:row>
      <xdr:rowOff>180763</xdr:rowOff>
    </xdr:from>
    <xdr:to>
      <xdr:col>11</xdr:col>
      <xdr:colOff>825500</xdr:colOff>
      <xdr:row>21</xdr:row>
      <xdr:rowOff>111619</xdr:rowOff>
    </xdr:to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A2AA3044-7C1E-5909-A151-B749E2D89EAF}"/>
            </a:ext>
          </a:extLst>
        </xdr:cNvPr>
        <xdr:cNvSpPr txBox="1"/>
      </xdr:nvSpPr>
      <xdr:spPr>
        <a:xfrm>
          <a:off x="11080184" y="5377180"/>
          <a:ext cx="6784483" cy="52352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Leverandør skal oppgi timepriser i tabell 1H. Timespriser overføres automatisk til denne tabellen. Merk at oppgitt volum kun er lagt til grunn for evalueringen og at reelt volum kan avvike fra dette.</a:t>
          </a:r>
        </a:p>
      </xdr:txBody>
    </xdr:sp>
    <xdr:clientData/>
  </xdr:twoCellAnchor>
  <xdr:twoCellAnchor>
    <xdr:from>
      <xdr:col>5</xdr:col>
      <xdr:colOff>879405</xdr:colOff>
      <xdr:row>28</xdr:row>
      <xdr:rowOff>8889</xdr:rowOff>
    </xdr:from>
    <xdr:to>
      <xdr:col>11</xdr:col>
      <xdr:colOff>828040</xdr:colOff>
      <xdr:row>30</xdr:row>
      <xdr:rowOff>63500</xdr:rowOff>
    </xdr:to>
    <xdr:sp macro="" textlink="">
      <xdr:nvSpPr>
        <xdr:cNvPr id="4" name="TekstSylinder 3">
          <a:extLst>
            <a:ext uri="{FF2B5EF4-FFF2-40B4-BE49-F238E27FC236}">
              <a16:creationId xmlns:a16="http://schemas.microsoft.com/office/drawing/2014/main" id="{12358A61-4197-4800-BD4F-9538D1376AEC}"/>
            </a:ext>
          </a:extLst>
        </xdr:cNvPr>
        <xdr:cNvSpPr txBox="1"/>
      </xdr:nvSpPr>
      <xdr:spPr>
        <a:xfrm>
          <a:off x="11113488" y="7173806"/>
          <a:ext cx="6753719" cy="64198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Leverandør skal oppgi timepriser i tabell 1I. Snitt timespris overføres automatisk til denne tabellen. Merk at oppgitt volum kun er lagt til grunn for evalueringen og at reelt volum vil avvike fra dette. </a:t>
          </a:r>
        </a:p>
      </xdr:txBody>
    </xdr:sp>
    <xdr:clientData/>
  </xdr:twoCellAnchor>
  <xdr:twoCellAnchor>
    <xdr:from>
      <xdr:col>5</xdr:col>
      <xdr:colOff>945446</xdr:colOff>
      <xdr:row>42</xdr:row>
      <xdr:rowOff>187819</xdr:rowOff>
    </xdr:from>
    <xdr:to>
      <xdr:col>11</xdr:col>
      <xdr:colOff>873126</xdr:colOff>
      <xdr:row>45</xdr:row>
      <xdr:rowOff>52917</xdr:rowOff>
    </xdr:to>
    <xdr:sp macro="" textlink="">
      <xdr:nvSpPr>
        <xdr:cNvPr id="5" name="TekstSylinder 4">
          <a:extLst>
            <a:ext uri="{FF2B5EF4-FFF2-40B4-BE49-F238E27FC236}">
              <a16:creationId xmlns:a16="http://schemas.microsoft.com/office/drawing/2014/main" id="{85C06026-8F60-4D8B-86D2-57A28C9666DD}"/>
            </a:ext>
          </a:extLst>
        </xdr:cNvPr>
        <xdr:cNvSpPr txBox="1"/>
      </xdr:nvSpPr>
      <xdr:spPr>
        <a:xfrm>
          <a:off x="11179529" y="10543611"/>
          <a:ext cx="6732764" cy="65355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200">
              <a:latin typeface="Arial" panose="020B0604020202020204" pitchFamily="34" charset="0"/>
              <a:cs typeface="Arial" panose="020B0604020202020204" pitchFamily="34" charset="0"/>
            </a:rPr>
            <a:t>Leverandør skal oppgi timepriser i tabell 1IL. Snitt timespris overføres automatisk til denne tabellen. Merk at oppgitt volum kun er lagt til grunn for evalueringen og at reelt volum vil avvike fra dette.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8389F-FA9F-4F95-8682-C315D08916C8}">
  <sheetPr>
    <pageSetUpPr fitToPage="1"/>
  </sheetPr>
  <dimension ref="B1:M120"/>
  <sheetViews>
    <sheetView showGridLines="0" tabSelected="1" zoomScale="120" zoomScaleNormal="120" workbookViewId="0">
      <selection activeCell="B2" sqref="B2"/>
    </sheetView>
  </sheetViews>
  <sheetFormatPr baseColWidth="10" defaultColWidth="8.77734375" defaultRowHeight="13.8" x14ac:dyDescent="0.25"/>
  <cols>
    <col min="1" max="1" width="2.5546875" style="51" customWidth="1"/>
    <col min="2" max="2" width="93.44140625" style="51" customWidth="1"/>
    <col min="3" max="3" width="19.77734375" style="51" customWidth="1"/>
    <col min="4" max="4" width="17.5546875" style="51" customWidth="1"/>
    <col min="5" max="5" width="15.77734375" style="51" customWidth="1"/>
    <col min="6" max="6" width="16.44140625" style="51" customWidth="1"/>
    <col min="7" max="7" width="16.21875" style="51" customWidth="1"/>
    <col min="8" max="8" width="15" style="51" customWidth="1"/>
    <col min="9" max="9" width="14.5546875" style="51" customWidth="1"/>
    <col min="10" max="10" width="14.44140625" style="51" customWidth="1"/>
    <col min="11" max="11" width="22.5546875" style="51" customWidth="1"/>
    <col min="12" max="12" width="14.21875" style="51" customWidth="1"/>
    <col min="13" max="13" width="8.77734375" style="78"/>
    <col min="14" max="16384" width="8.77734375" style="51"/>
  </cols>
  <sheetData>
    <row r="1" spans="2:13" s="49" customFormat="1" ht="22.8" x14ac:dyDescent="0.25">
      <c r="B1" s="75" t="s">
        <v>36</v>
      </c>
      <c r="C1" s="16"/>
      <c r="D1" s="16"/>
      <c r="E1" s="16"/>
      <c r="F1" s="48"/>
      <c r="G1" s="48"/>
      <c r="H1" s="17"/>
      <c r="I1" s="17"/>
      <c r="J1" s="17"/>
      <c r="K1" s="17"/>
      <c r="L1" s="17"/>
      <c r="M1" s="77"/>
    </row>
    <row r="2" spans="2:13" s="49" customFormat="1" ht="22.8" x14ac:dyDescent="0.25">
      <c r="B2" s="76"/>
      <c r="C2" s="7"/>
      <c r="D2" s="7"/>
      <c r="E2" s="7"/>
      <c r="F2" s="50"/>
      <c r="G2" s="50"/>
      <c r="H2" s="8"/>
      <c r="I2" s="8"/>
      <c r="J2" s="8"/>
      <c r="K2" s="8"/>
      <c r="L2" s="8"/>
      <c r="M2" s="77"/>
    </row>
    <row r="3" spans="2:13" s="49" customFormat="1" ht="22.8" x14ac:dyDescent="0.4">
      <c r="B3" s="94" t="s">
        <v>27</v>
      </c>
      <c r="C3" s="94"/>
      <c r="D3" s="7"/>
      <c r="E3" s="7"/>
      <c r="F3" s="50"/>
      <c r="G3" s="50"/>
      <c r="H3" s="8"/>
      <c r="I3" s="8"/>
      <c r="J3" s="8"/>
      <c r="K3" s="8"/>
      <c r="L3" s="8"/>
      <c r="M3" s="77"/>
    </row>
    <row r="4" spans="2:13" s="49" customFormat="1" ht="22.8" x14ac:dyDescent="0.25">
      <c r="B4" s="93" t="s">
        <v>29</v>
      </c>
      <c r="C4" s="93"/>
      <c r="D4" s="7"/>
      <c r="E4" s="7"/>
      <c r="F4" s="50"/>
      <c r="G4" s="50"/>
      <c r="H4" s="8"/>
      <c r="I4" s="8"/>
      <c r="J4" s="8"/>
      <c r="K4" s="8"/>
      <c r="L4" s="8"/>
      <c r="M4" s="77"/>
    </row>
    <row r="5" spans="2:13" s="3" customFormat="1" ht="15.6" x14ac:dyDescent="0.25">
      <c r="B5" s="79"/>
      <c r="C5" s="79"/>
      <c r="D5" s="80"/>
      <c r="E5" s="80"/>
      <c r="F5" s="81"/>
      <c r="G5" s="81"/>
      <c r="H5" s="81"/>
      <c r="I5" s="81"/>
      <c r="J5" s="81"/>
      <c r="K5" s="81"/>
      <c r="L5" s="81"/>
      <c r="M5" s="82"/>
    </row>
    <row r="6" spans="2:13" s="3" customFormat="1" ht="15.6" x14ac:dyDescent="0.25">
      <c r="B6" s="83" t="s">
        <v>69</v>
      </c>
      <c r="C6" s="83"/>
      <c r="D6" s="80"/>
      <c r="E6" s="80"/>
      <c r="F6" s="81"/>
      <c r="G6" s="81"/>
      <c r="H6" s="81"/>
      <c r="I6" s="81"/>
      <c r="J6" s="81"/>
      <c r="K6" s="81"/>
      <c r="L6" s="81"/>
      <c r="M6" s="82"/>
    </row>
    <row r="7" spans="2:13" s="3" customFormat="1" ht="16.2" thickBot="1" x14ac:dyDescent="0.3">
      <c r="B7" s="80"/>
      <c r="C7" s="80"/>
      <c r="D7" s="80"/>
      <c r="E7" s="80"/>
      <c r="F7" s="81"/>
      <c r="G7" s="81"/>
      <c r="H7" s="81"/>
      <c r="I7" s="81"/>
      <c r="J7" s="81"/>
      <c r="K7" s="81"/>
      <c r="L7" s="81"/>
      <c r="M7" s="82"/>
    </row>
    <row r="8" spans="2:13" ht="21" x14ac:dyDescent="0.4">
      <c r="B8" s="100" t="s">
        <v>45</v>
      </c>
      <c r="C8" s="102" t="s">
        <v>0</v>
      </c>
      <c r="D8" s="14"/>
      <c r="E8" s="5"/>
      <c r="F8" s="5"/>
      <c r="G8" s="6"/>
      <c r="H8" s="6"/>
      <c r="I8" s="6"/>
      <c r="J8" s="6"/>
      <c r="K8" s="6"/>
      <c r="L8" s="6"/>
    </row>
    <row r="9" spans="2:13" ht="15.6" customHeight="1" x14ac:dyDescent="0.25">
      <c r="B9" s="101"/>
      <c r="C9" s="103"/>
      <c r="D9" s="14"/>
      <c r="F9" s="10"/>
      <c r="G9" s="10"/>
      <c r="H9" s="11"/>
      <c r="I9" s="11"/>
      <c r="J9" s="11"/>
      <c r="K9" s="11"/>
      <c r="L9" s="11"/>
    </row>
    <row r="10" spans="2:13" ht="15" x14ac:dyDescent="0.25">
      <c r="B10" s="25" t="s">
        <v>40</v>
      </c>
      <c r="C10" s="26">
        <v>0</v>
      </c>
      <c r="D10" s="15"/>
      <c r="E10" s="115"/>
      <c r="F10" s="115"/>
      <c r="G10" s="115"/>
      <c r="H10" s="115"/>
      <c r="I10" s="13"/>
      <c r="J10" s="13"/>
      <c r="K10" s="13"/>
      <c r="L10" s="13"/>
    </row>
    <row r="11" spans="2:13" ht="30" x14ac:dyDescent="0.25">
      <c r="B11" s="25" t="s">
        <v>37</v>
      </c>
      <c r="C11" s="26">
        <v>0</v>
      </c>
      <c r="D11" s="15"/>
      <c r="E11" s="115"/>
      <c r="F11" s="115"/>
      <c r="G11" s="115"/>
      <c r="H11" s="115"/>
      <c r="I11" s="13"/>
      <c r="J11" s="13"/>
      <c r="K11" s="13"/>
      <c r="L11" s="13"/>
    </row>
    <row r="12" spans="2:13" ht="15" x14ac:dyDescent="0.25">
      <c r="B12" s="25" t="s">
        <v>38</v>
      </c>
      <c r="C12" s="26">
        <v>0</v>
      </c>
      <c r="D12" s="15"/>
      <c r="E12" s="54"/>
      <c r="F12" s="54"/>
      <c r="G12" s="54"/>
      <c r="H12" s="54"/>
      <c r="I12" s="13"/>
      <c r="J12" s="13"/>
      <c r="K12" s="13"/>
      <c r="L12" s="13"/>
    </row>
    <row r="13" spans="2:13" ht="15" x14ac:dyDescent="0.25">
      <c r="B13" s="25" t="s">
        <v>39</v>
      </c>
      <c r="C13" s="26">
        <v>0</v>
      </c>
      <c r="D13" s="15"/>
      <c r="E13" s="54"/>
      <c r="F13" s="54"/>
      <c r="G13" s="54"/>
      <c r="H13" s="54"/>
      <c r="I13" s="13"/>
      <c r="J13" s="13"/>
      <c r="K13" s="13"/>
      <c r="L13" s="13"/>
    </row>
    <row r="14" spans="2:13" ht="45" x14ac:dyDescent="0.25">
      <c r="B14" s="25" t="s">
        <v>70</v>
      </c>
      <c r="C14" s="26">
        <v>0</v>
      </c>
      <c r="D14" s="15"/>
      <c r="F14" s="12"/>
      <c r="G14" s="12"/>
      <c r="H14" s="13"/>
      <c r="I14" s="13"/>
      <c r="J14" s="13"/>
      <c r="K14" s="13"/>
      <c r="L14" s="13"/>
    </row>
    <row r="15" spans="2:13" ht="30" x14ac:dyDescent="0.25">
      <c r="B15" s="25" t="s">
        <v>79</v>
      </c>
      <c r="C15" s="26">
        <v>0</v>
      </c>
      <c r="D15" s="15"/>
      <c r="F15" s="12"/>
      <c r="G15" s="12"/>
      <c r="H15" s="13"/>
      <c r="I15" s="13"/>
      <c r="J15" s="13"/>
      <c r="K15" s="13"/>
      <c r="L15" s="13"/>
    </row>
    <row r="16" spans="2:13" ht="15" x14ac:dyDescent="0.25">
      <c r="B16" s="25" t="s">
        <v>44</v>
      </c>
      <c r="C16" s="26">
        <v>0</v>
      </c>
      <c r="D16" s="15"/>
      <c r="F16" s="12"/>
      <c r="G16" s="12"/>
      <c r="H16" s="13"/>
      <c r="I16" s="13"/>
      <c r="J16" s="13"/>
      <c r="K16" s="13"/>
      <c r="L16" s="13"/>
    </row>
    <row r="17" spans="2:13" ht="15" x14ac:dyDescent="0.25">
      <c r="B17" s="27" t="s">
        <v>31</v>
      </c>
      <c r="C17" s="26">
        <v>0</v>
      </c>
      <c r="D17" s="15"/>
      <c r="F17" s="12"/>
      <c r="G17" s="12"/>
      <c r="H17" s="13"/>
      <c r="I17" s="13"/>
      <c r="J17" s="13"/>
      <c r="K17" s="13"/>
      <c r="L17" s="13"/>
    </row>
    <row r="18" spans="2:13" s="41" customFormat="1" ht="16.2" thickBot="1" x14ac:dyDescent="0.35">
      <c r="B18" s="29" t="s">
        <v>1</v>
      </c>
      <c r="C18" s="30">
        <f>SUM(C10:C17)</f>
        <v>0</v>
      </c>
      <c r="D18" s="2"/>
      <c r="F18" s="2"/>
      <c r="G18" s="2"/>
      <c r="H18" s="2"/>
      <c r="I18" s="2"/>
      <c r="J18" s="2"/>
      <c r="K18" s="2"/>
      <c r="L18" s="2"/>
      <c r="M18" s="52"/>
    </row>
    <row r="19" spans="2:13" s="52" customFormat="1" ht="15.6" x14ac:dyDescent="0.3">
      <c r="B19" s="21"/>
      <c r="C19" s="33"/>
      <c r="D19" s="22"/>
      <c r="F19" s="22"/>
      <c r="G19" s="22"/>
      <c r="H19" s="22"/>
      <c r="I19" s="22"/>
      <c r="J19" s="22"/>
      <c r="K19" s="22"/>
      <c r="L19" s="22"/>
    </row>
    <row r="20" spans="2:13" s="41" customFormat="1" ht="16.2" thickBot="1" x14ac:dyDescent="0.35">
      <c r="B20" s="9"/>
      <c r="C20" s="2"/>
      <c r="D20" s="2"/>
      <c r="E20" s="2"/>
      <c r="F20" s="2"/>
      <c r="G20" s="22"/>
      <c r="H20" s="22"/>
      <c r="I20" s="22"/>
      <c r="J20" s="22"/>
      <c r="K20" s="22"/>
      <c r="L20" s="22"/>
      <c r="M20" s="52"/>
    </row>
    <row r="21" spans="2:13" s="41" customFormat="1" ht="31.2" customHeight="1" x14ac:dyDescent="0.3">
      <c r="B21" s="46" t="s">
        <v>46</v>
      </c>
      <c r="C21" s="34" t="s">
        <v>21</v>
      </c>
      <c r="D21" s="34" t="s">
        <v>68</v>
      </c>
      <c r="E21" s="35" t="s">
        <v>3</v>
      </c>
      <c r="F21" s="2"/>
      <c r="G21" s="22"/>
      <c r="H21" s="22"/>
      <c r="I21" s="22"/>
      <c r="J21" s="22"/>
      <c r="K21" s="22"/>
      <c r="L21" s="22"/>
      <c r="M21" s="52"/>
    </row>
    <row r="22" spans="2:13" s="41" customFormat="1" ht="30.6" x14ac:dyDescent="0.3">
      <c r="B22" s="25" t="s">
        <v>41</v>
      </c>
      <c r="C22" s="85">
        <v>100</v>
      </c>
      <c r="D22" s="20">
        <f>C82</f>
        <v>0</v>
      </c>
      <c r="E22" s="28">
        <f>D22*C22</f>
        <v>0</v>
      </c>
      <c r="F22" s="2"/>
      <c r="G22" s="22"/>
      <c r="H22" s="22"/>
      <c r="I22" s="22"/>
      <c r="J22" s="22"/>
      <c r="K22" s="22"/>
      <c r="L22" s="22"/>
      <c r="M22" s="52"/>
    </row>
    <row r="23" spans="2:13" s="41" customFormat="1" ht="15.6" x14ac:dyDescent="0.3">
      <c r="B23" s="25" t="s">
        <v>42</v>
      </c>
      <c r="C23" s="85">
        <v>100</v>
      </c>
      <c r="D23" s="20"/>
      <c r="E23" s="28"/>
      <c r="F23" s="2"/>
      <c r="G23" s="22"/>
      <c r="H23" s="22"/>
      <c r="I23" s="22"/>
      <c r="J23" s="22"/>
      <c r="K23" s="22"/>
      <c r="L23" s="22"/>
      <c r="M23" s="52"/>
    </row>
    <row r="24" spans="2:13" ht="15" x14ac:dyDescent="0.25">
      <c r="B24" s="25" t="s">
        <v>43</v>
      </c>
      <c r="C24" s="85">
        <v>150</v>
      </c>
      <c r="D24" s="20">
        <f>C83</f>
        <v>0</v>
      </c>
      <c r="E24" s="28">
        <f>D24*C24</f>
        <v>0</v>
      </c>
      <c r="F24" s="12"/>
      <c r="G24" s="18"/>
      <c r="H24" s="18"/>
      <c r="I24" s="18"/>
      <c r="J24" s="18"/>
      <c r="K24" s="18"/>
      <c r="L24" s="18"/>
    </row>
    <row r="25" spans="2:13" ht="15" x14ac:dyDescent="0.25">
      <c r="B25" s="27" t="s">
        <v>31</v>
      </c>
      <c r="C25" s="85"/>
      <c r="D25" s="20">
        <f>C84</f>
        <v>0</v>
      </c>
      <c r="E25" s="28">
        <f>D25*C25</f>
        <v>0</v>
      </c>
      <c r="F25" s="12"/>
      <c r="G25" s="12"/>
      <c r="H25" s="13"/>
      <c r="I25" s="13"/>
      <c r="J25" s="13"/>
      <c r="K25" s="13"/>
      <c r="L25" s="13"/>
    </row>
    <row r="26" spans="2:13" s="41" customFormat="1" ht="16.2" thickBot="1" x14ac:dyDescent="0.35">
      <c r="B26" s="29" t="s">
        <v>4</v>
      </c>
      <c r="C26" s="37"/>
      <c r="D26" s="37"/>
      <c r="E26" s="30">
        <f>SUM(E22:E25)</f>
        <v>0</v>
      </c>
      <c r="F26" s="2"/>
      <c r="G26" s="2"/>
      <c r="H26" s="2"/>
      <c r="I26" s="2"/>
      <c r="J26" s="2"/>
      <c r="K26" s="2"/>
      <c r="L26" s="2"/>
      <c r="M26" s="52"/>
    </row>
    <row r="27" spans="2:13" s="41" customFormat="1" ht="15.6" x14ac:dyDescent="0.3">
      <c r="B27" s="9"/>
      <c r="C27" s="2"/>
      <c r="D27" s="2"/>
      <c r="E27" s="2"/>
      <c r="F27" s="2"/>
      <c r="G27" s="2"/>
      <c r="H27" s="2"/>
      <c r="I27" s="2"/>
      <c r="J27" s="2"/>
      <c r="K27" s="2"/>
      <c r="L27" s="2"/>
      <c r="M27" s="52"/>
    </row>
    <row r="28" spans="2:13" s="41" customFormat="1" ht="16.2" thickBot="1" x14ac:dyDescent="0.35">
      <c r="B28" s="9"/>
      <c r="C28" s="2"/>
      <c r="D28" s="2"/>
      <c r="E28" s="2"/>
      <c r="F28" s="2"/>
      <c r="G28" s="2"/>
      <c r="H28" s="2"/>
      <c r="I28" s="2"/>
      <c r="J28" s="2"/>
      <c r="K28" s="2"/>
      <c r="L28" s="2"/>
      <c r="M28" s="52"/>
    </row>
    <row r="29" spans="2:13" s="41" customFormat="1" ht="31.2" customHeight="1" x14ac:dyDescent="0.3">
      <c r="B29" s="46" t="s">
        <v>35</v>
      </c>
      <c r="C29" s="34" t="s">
        <v>2</v>
      </c>
      <c r="D29" s="34" t="s">
        <v>67</v>
      </c>
      <c r="E29" s="35" t="s">
        <v>3</v>
      </c>
      <c r="F29" s="2"/>
      <c r="G29" s="2"/>
      <c r="H29" s="2"/>
      <c r="I29" s="2"/>
      <c r="J29" s="2"/>
      <c r="K29" s="2"/>
      <c r="L29" s="2"/>
      <c r="M29" s="52"/>
    </row>
    <row r="30" spans="2:13" s="41" customFormat="1" ht="15.6" x14ac:dyDescent="0.3">
      <c r="B30" s="25" t="s">
        <v>52</v>
      </c>
      <c r="C30" s="85">
        <v>200</v>
      </c>
      <c r="D30" s="20">
        <f>E93</f>
        <v>0</v>
      </c>
      <c r="E30" s="28">
        <f>C30*D30</f>
        <v>0</v>
      </c>
      <c r="F30" s="2"/>
      <c r="G30" s="2"/>
      <c r="H30" s="2"/>
      <c r="I30" s="2"/>
      <c r="J30" s="2"/>
      <c r="K30" s="2"/>
      <c r="L30" s="2"/>
      <c r="M30" s="52"/>
    </row>
    <row r="31" spans="2:13" ht="15.6" x14ac:dyDescent="0.3">
      <c r="B31" s="27" t="s">
        <v>31</v>
      </c>
      <c r="C31" s="85"/>
      <c r="D31" s="20">
        <f>E93</f>
        <v>0</v>
      </c>
      <c r="E31" s="28">
        <f>C31*D31</f>
        <v>0</v>
      </c>
      <c r="F31" s="12"/>
      <c r="G31" s="2"/>
      <c r="H31" s="2"/>
      <c r="I31" s="2"/>
      <c r="J31" s="2"/>
      <c r="K31" s="2"/>
      <c r="L31" s="2"/>
    </row>
    <row r="32" spans="2:13" s="41" customFormat="1" ht="16.2" thickBot="1" x14ac:dyDescent="0.35">
      <c r="B32" s="29" t="s">
        <v>63</v>
      </c>
      <c r="C32" s="37"/>
      <c r="D32" s="37"/>
      <c r="E32" s="30">
        <f>SUM(E30:E31)</f>
        <v>0</v>
      </c>
      <c r="F32" s="2"/>
      <c r="G32" s="2"/>
      <c r="H32" s="2"/>
      <c r="I32" s="2"/>
      <c r="J32" s="2"/>
      <c r="K32" s="2"/>
      <c r="L32" s="2"/>
      <c r="M32" s="52"/>
    </row>
    <row r="33" spans="2:13" s="41" customFormat="1" ht="15.6" x14ac:dyDescent="0.3"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52"/>
    </row>
    <row r="34" spans="2:13" s="41" customFormat="1" ht="16.2" thickBot="1" x14ac:dyDescent="0.35">
      <c r="B34" s="9"/>
      <c r="C34" s="2"/>
      <c r="D34" s="2"/>
      <c r="E34" s="2"/>
      <c r="F34" s="2"/>
      <c r="G34" s="12"/>
      <c r="H34" s="13"/>
      <c r="I34" s="13"/>
      <c r="J34" s="13"/>
      <c r="K34" s="13"/>
      <c r="L34" s="13"/>
      <c r="M34" s="52"/>
    </row>
    <row r="35" spans="2:13" s="41" customFormat="1" ht="15.6" customHeight="1" x14ac:dyDescent="0.3">
      <c r="B35" s="95" t="s">
        <v>71</v>
      </c>
      <c r="C35" s="97" t="s">
        <v>0</v>
      </c>
      <c r="D35" s="2"/>
      <c r="E35" s="2"/>
      <c r="F35" s="2"/>
      <c r="G35" s="12"/>
      <c r="H35" s="13"/>
      <c r="I35" s="13"/>
      <c r="J35" s="13"/>
      <c r="K35" s="13"/>
      <c r="L35" s="13"/>
      <c r="M35" s="52"/>
    </row>
    <row r="36" spans="2:13" s="41" customFormat="1" ht="15.6" customHeight="1" x14ac:dyDescent="0.3">
      <c r="B36" s="96"/>
      <c r="C36" s="98"/>
      <c r="D36" s="2"/>
      <c r="E36" s="2"/>
      <c r="F36" s="2"/>
      <c r="G36" s="12"/>
      <c r="H36" s="13"/>
      <c r="I36" s="13"/>
      <c r="J36" s="13"/>
      <c r="K36" s="13"/>
      <c r="L36" s="13"/>
      <c r="M36" s="52"/>
    </row>
    <row r="37" spans="2:13" s="41" customFormat="1" ht="15.6" customHeight="1" x14ac:dyDescent="0.3">
      <c r="B37" s="25" t="s">
        <v>49</v>
      </c>
      <c r="C37" s="26">
        <v>0</v>
      </c>
      <c r="D37" s="2"/>
      <c r="E37" s="2"/>
      <c r="F37" s="2"/>
      <c r="G37" s="12"/>
      <c r="H37" s="13"/>
      <c r="I37" s="13"/>
      <c r="J37" s="13"/>
      <c r="K37" s="13"/>
      <c r="L37" s="13"/>
      <c r="M37" s="52"/>
    </row>
    <row r="38" spans="2:13" s="41" customFormat="1" ht="15.6" customHeight="1" x14ac:dyDescent="0.3">
      <c r="B38" s="25" t="s">
        <v>55</v>
      </c>
      <c r="C38" s="26">
        <v>0</v>
      </c>
      <c r="D38" s="2"/>
      <c r="E38" s="2"/>
      <c r="F38" s="2"/>
      <c r="G38" s="12"/>
      <c r="H38" s="13"/>
      <c r="I38" s="13"/>
      <c r="J38" s="13"/>
      <c r="K38" s="13"/>
      <c r="L38" s="13"/>
      <c r="M38" s="52"/>
    </row>
    <row r="39" spans="2:13" s="41" customFormat="1" ht="15.6" x14ac:dyDescent="0.3">
      <c r="B39" s="25" t="s">
        <v>54</v>
      </c>
      <c r="C39" s="26">
        <v>0</v>
      </c>
      <c r="D39" s="2"/>
      <c r="E39" s="2"/>
      <c r="F39" s="2"/>
      <c r="G39" s="12"/>
      <c r="H39" s="13"/>
      <c r="I39" s="13"/>
      <c r="J39" s="13"/>
      <c r="K39" s="13"/>
      <c r="L39" s="13"/>
      <c r="M39" s="52"/>
    </row>
    <row r="40" spans="2:13" s="41" customFormat="1" ht="15.6" x14ac:dyDescent="0.3">
      <c r="B40" s="25" t="s">
        <v>53</v>
      </c>
      <c r="C40" s="26">
        <v>0</v>
      </c>
      <c r="D40" s="2"/>
      <c r="E40" s="2"/>
      <c r="F40" s="2"/>
      <c r="G40" s="12"/>
      <c r="H40" s="13"/>
      <c r="I40" s="13"/>
      <c r="J40" s="13"/>
      <c r="K40" s="13"/>
      <c r="L40" s="13"/>
      <c r="M40" s="52"/>
    </row>
    <row r="41" spans="2:13" s="41" customFormat="1" ht="15.6" x14ac:dyDescent="0.3">
      <c r="B41" s="27" t="s">
        <v>31</v>
      </c>
      <c r="C41" s="26">
        <v>0</v>
      </c>
      <c r="D41" s="2"/>
      <c r="E41" s="2"/>
      <c r="F41" s="2"/>
      <c r="G41" s="12"/>
      <c r="H41" s="13"/>
      <c r="I41" s="13"/>
      <c r="J41" s="13"/>
      <c r="K41" s="13"/>
      <c r="L41" s="13"/>
      <c r="M41" s="52"/>
    </row>
    <row r="42" spans="2:13" s="41" customFormat="1" ht="15.6" x14ac:dyDescent="0.3">
      <c r="B42" s="9"/>
      <c r="C42" s="2"/>
      <c r="D42" s="2"/>
      <c r="E42" s="2"/>
      <c r="F42" s="2"/>
      <c r="G42" s="12"/>
      <c r="H42" s="13"/>
      <c r="I42" s="13"/>
      <c r="J42" s="13"/>
      <c r="K42" s="13"/>
      <c r="L42" s="13"/>
      <c r="M42" s="52"/>
    </row>
    <row r="43" spans="2:13" s="41" customFormat="1" ht="16.2" thickBot="1" x14ac:dyDescent="0.35">
      <c r="B43" s="9"/>
      <c r="C43" s="2"/>
      <c r="D43" s="2"/>
      <c r="E43" s="2"/>
      <c r="F43" s="2"/>
      <c r="G43" s="12"/>
      <c r="H43" s="13"/>
      <c r="I43" s="13"/>
      <c r="J43" s="13"/>
      <c r="K43" s="13"/>
      <c r="L43" s="13"/>
      <c r="M43" s="52"/>
    </row>
    <row r="44" spans="2:13" s="41" customFormat="1" ht="31.2" customHeight="1" x14ac:dyDescent="0.3">
      <c r="B44" s="46" t="s">
        <v>56</v>
      </c>
      <c r="C44" s="34" t="s">
        <v>2</v>
      </c>
      <c r="D44" s="34" t="s">
        <v>67</v>
      </c>
      <c r="E44" s="35" t="s">
        <v>3</v>
      </c>
      <c r="F44" s="2"/>
      <c r="G44" s="12"/>
      <c r="H44" s="13"/>
      <c r="I44" s="13"/>
      <c r="J44" s="13"/>
      <c r="K44" s="13"/>
      <c r="L44" s="13"/>
      <c r="M44" s="52"/>
    </row>
    <row r="45" spans="2:13" s="41" customFormat="1" ht="15.6" x14ac:dyDescent="0.3">
      <c r="B45" s="25" t="s">
        <v>50</v>
      </c>
      <c r="C45" s="85">
        <v>250</v>
      </c>
      <c r="D45" s="20">
        <f>E93</f>
        <v>0</v>
      </c>
      <c r="E45" s="28">
        <f>C45*D45</f>
        <v>0</v>
      </c>
      <c r="F45" s="2"/>
      <c r="G45" s="12"/>
      <c r="H45" s="13"/>
      <c r="I45" s="13"/>
      <c r="J45" s="13"/>
      <c r="K45" s="13"/>
      <c r="L45" s="13"/>
      <c r="M45" s="52"/>
    </row>
    <row r="46" spans="2:13" s="41" customFormat="1" ht="15.6" x14ac:dyDescent="0.3">
      <c r="B46" s="25" t="s">
        <v>51</v>
      </c>
      <c r="C46" s="85">
        <v>70</v>
      </c>
      <c r="D46" s="20">
        <f>E93</f>
        <v>0</v>
      </c>
      <c r="E46" s="28">
        <f t="shared" ref="E46:E47" si="0">C46*D46</f>
        <v>0</v>
      </c>
      <c r="F46" s="2"/>
      <c r="G46" s="12"/>
      <c r="H46" s="13"/>
      <c r="I46" s="13"/>
      <c r="J46" s="13"/>
      <c r="K46" s="13"/>
      <c r="L46" s="13"/>
      <c r="M46" s="52"/>
    </row>
    <row r="47" spans="2:13" s="41" customFormat="1" ht="15.6" x14ac:dyDescent="0.3">
      <c r="B47" s="25" t="s">
        <v>47</v>
      </c>
      <c r="C47" s="85">
        <v>150</v>
      </c>
      <c r="D47" s="20">
        <f>E93</f>
        <v>0</v>
      </c>
      <c r="E47" s="28">
        <f t="shared" si="0"/>
        <v>0</v>
      </c>
      <c r="F47" s="2"/>
      <c r="G47" s="2"/>
      <c r="H47" s="2"/>
      <c r="I47" s="2"/>
      <c r="J47" s="2"/>
      <c r="K47" s="2"/>
      <c r="L47" s="2"/>
      <c r="M47" s="52"/>
    </row>
    <row r="48" spans="2:13" s="41" customFormat="1" ht="15.6" x14ac:dyDescent="0.3">
      <c r="B48" s="27" t="s">
        <v>31</v>
      </c>
      <c r="C48" s="85"/>
      <c r="D48" s="20">
        <f>E93</f>
        <v>0</v>
      </c>
      <c r="E48" s="28">
        <f>C48*D48</f>
        <v>0</v>
      </c>
      <c r="F48" s="2"/>
      <c r="G48" s="2"/>
      <c r="H48" s="2"/>
      <c r="I48" s="2"/>
      <c r="J48" s="2"/>
      <c r="K48" s="2"/>
      <c r="L48" s="2"/>
      <c r="M48" s="52"/>
    </row>
    <row r="49" spans="2:13" s="41" customFormat="1" ht="16.2" thickBot="1" x14ac:dyDescent="0.35">
      <c r="B49" s="29" t="s">
        <v>7</v>
      </c>
      <c r="C49" s="37"/>
      <c r="D49" s="37"/>
      <c r="E49" s="30">
        <f>SUM(E45:E48)</f>
        <v>0</v>
      </c>
      <c r="F49" s="2"/>
      <c r="G49" s="2"/>
      <c r="H49" s="2"/>
      <c r="I49" s="2"/>
      <c r="J49" s="2"/>
      <c r="K49" s="2"/>
      <c r="L49" s="2"/>
      <c r="M49" s="52"/>
    </row>
    <row r="50" spans="2:13" s="41" customFormat="1" ht="15.6" x14ac:dyDescent="0.3"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52"/>
    </row>
    <row r="51" spans="2:13" s="41" customFormat="1" ht="15.6" x14ac:dyDescent="0.3"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52"/>
    </row>
    <row r="52" spans="2:13" s="41" customFormat="1" ht="16.2" thickBot="1" x14ac:dyDescent="0.35"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52"/>
    </row>
    <row r="53" spans="2:13" s="41" customFormat="1" ht="15.6" x14ac:dyDescent="0.3">
      <c r="B53" s="100" t="s">
        <v>57</v>
      </c>
      <c r="C53" s="106" t="s">
        <v>5</v>
      </c>
      <c r="D53" s="107"/>
      <c r="E53" s="108"/>
      <c r="F53" s="109" t="s">
        <v>6</v>
      </c>
      <c r="G53" s="110"/>
      <c r="H53" s="110"/>
      <c r="I53" s="62"/>
      <c r="J53" s="2"/>
      <c r="M53" s="52"/>
    </row>
    <row r="54" spans="2:13" s="41" customFormat="1" ht="42" customHeight="1" x14ac:dyDescent="0.3">
      <c r="B54" s="101"/>
      <c r="C54" s="31">
        <v>2027</v>
      </c>
      <c r="D54" s="31">
        <v>2028</v>
      </c>
      <c r="E54" s="31">
        <v>2029</v>
      </c>
      <c r="F54" s="32">
        <v>2030</v>
      </c>
      <c r="G54" s="32">
        <v>2031</v>
      </c>
      <c r="H54" s="32">
        <v>2032</v>
      </c>
      <c r="I54" s="61" t="s">
        <v>3</v>
      </c>
      <c r="J54" s="19"/>
      <c r="M54" s="52"/>
    </row>
    <row r="55" spans="2:13" ht="15" x14ac:dyDescent="0.25">
      <c r="B55" s="36" t="s">
        <v>34</v>
      </c>
      <c r="C55" s="23"/>
      <c r="D55" s="23"/>
      <c r="E55" s="23"/>
      <c r="F55" s="23"/>
      <c r="G55" s="23"/>
      <c r="H55" s="23"/>
      <c r="I55" s="40">
        <f>SUM(C55:H55)</f>
        <v>0</v>
      </c>
      <c r="J55" s="3"/>
    </row>
    <row r="56" spans="2:13" ht="15" x14ac:dyDescent="0.25">
      <c r="B56" s="36" t="s">
        <v>76</v>
      </c>
      <c r="C56" s="24"/>
      <c r="D56" s="24"/>
      <c r="E56" s="24"/>
      <c r="F56" s="24"/>
      <c r="G56" s="24"/>
      <c r="H56" s="24"/>
      <c r="I56" s="40"/>
      <c r="J56" s="3"/>
    </row>
    <row r="57" spans="2:13" ht="15" x14ac:dyDescent="0.25">
      <c r="B57" s="36" t="s">
        <v>77</v>
      </c>
      <c r="C57" s="24"/>
      <c r="D57" s="24"/>
      <c r="E57" s="24"/>
      <c r="F57" s="24"/>
      <c r="G57" s="24"/>
      <c r="H57" s="24"/>
      <c r="I57" s="40">
        <f>SUM(C57:H57)</f>
        <v>0</v>
      </c>
      <c r="J57" s="3"/>
    </row>
    <row r="58" spans="2:13" ht="15" x14ac:dyDescent="0.25">
      <c r="B58" s="36" t="s">
        <v>72</v>
      </c>
      <c r="C58" s="24"/>
      <c r="D58" s="24"/>
      <c r="E58" s="24"/>
      <c r="F58" s="24"/>
      <c r="G58" s="24"/>
      <c r="H58" s="24"/>
      <c r="I58" s="40">
        <f>SUM(C58:H58)</f>
        <v>0</v>
      </c>
      <c r="J58" s="3"/>
    </row>
    <row r="59" spans="2:13" ht="30" customHeight="1" x14ac:dyDescent="0.25">
      <c r="B59" s="36" t="s">
        <v>74</v>
      </c>
      <c r="C59" s="24"/>
      <c r="D59" s="24"/>
      <c r="E59" s="24"/>
      <c r="F59" s="24"/>
      <c r="G59" s="24"/>
      <c r="H59" s="24"/>
      <c r="I59" s="40">
        <f>SUM(C59:H59)</f>
        <v>0</v>
      </c>
      <c r="J59" s="3"/>
    </row>
    <row r="60" spans="2:13" ht="15" customHeight="1" x14ac:dyDescent="0.25">
      <c r="B60" s="84" t="s">
        <v>48</v>
      </c>
      <c r="C60" s="24"/>
      <c r="D60" s="24"/>
      <c r="E60" s="24"/>
      <c r="F60" s="24"/>
      <c r="G60" s="24"/>
      <c r="H60" s="24"/>
      <c r="I60" s="40"/>
      <c r="J60" s="3"/>
    </row>
    <row r="61" spans="2:13" ht="15" x14ac:dyDescent="0.25">
      <c r="B61" s="27" t="s">
        <v>73</v>
      </c>
      <c r="C61" s="24"/>
      <c r="D61" s="24"/>
      <c r="E61" s="24"/>
      <c r="F61" s="24"/>
      <c r="G61" s="24"/>
      <c r="H61" s="24"/>
      <c r="I61" s="40">
        <f>SUM(C61:H61)</f>
        <v>0</v>
      </c>
      <c r="J61" s="3"/>
    </row>
    <row r="62" spans="2:13" s="41" customFormat="1" ht="16.2" thickBot="1" x14ac:dyDescent="0.35">
      <c r="B62" s="29" t="s">
        <v>64</v>
      </c>
      <c r="C62" s="37">
        <f>SUM(C55:C61)</f>
        <v>0</v>
      </c>
      <c r="D62" s="37">
        <f t="shared" ref="D62:G62" si="1">SUM(D55:D61)</f>
        <v>0</v>
      </c>
      <c r="E62" s="37">
        <f t="shared" si="1"/>
        <v>0</v>
      </c>
      <c r="F62" s="37">
        <f t="shared" si="1"/>
        <v>0</v>
      </c>
      <c r="G62" s="37">
        <f t="shared" si="1"/>
        <v>0</v>
      </c>
      <c r="H62" s="37">
        <f t="shared" ref="H62" si="2">SUM(H55:H61)</f>
        <v>0</v>
      </c>
      <c r="I62" s="30">
        <f>SUM(I55:I61)</f>
        <v>0</v>
      </c>
      <c r="J62" s="2"/>
      <c r="M62" s="52"/>
    </row>
    <row r="63" spans="2:13" s="41" customFormat="1" ht="15.6" x14ac:dyDescent="0.3"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52"/>
    </row>
    <row r="64" spans="2:13" s="41" customFormat="1" ht="16.2" thickBot="1" x14ac:dyDescent="0.35">
      <c r="B64" s="99" t="s">
        <v>75</v>
      </c>
      <c r="C64" s="99"/>
      <c r="D64" s="99"/>
      <c r="E64" s="99"/>
      <c r="F64" s="57"/>
      <c r="G64" s="57"/>
      <c r="H64" s="57"/>
      <c r="I64" s="57"/>
      <c r="J64" s="57"/>
      <c r="K64" s="57"/>
      <c r="L64" s="57"/>
      <c r="M64" s="52"/>
    </row>
    <row r="65" spans="2:13" s="41" customFormat="1" ht="45.6" customHeight="1" x14ac:dyDescent="0.3">
      <c r="B65" s="55" t="s">
        <v>78</v>
      </c>
      <c r="C65" s="38" t="s">
        <v>22</v>
      </c>
      <c r="D65" s="38" t="s">
        <v>23</v>
      </c>
      <c r="E65" s="59" t="s">
        <v>19</v>
      </c>
      <c r="F65" s="57"/>
      <c r="G65" s="57"/>
      <c r="H65" s="57"/>
      <c r="I65" s="57"/>
      <c r="J65" s="57"/>
      <c r="K65" s="57"/>
      <c r="L65" s="57"/>
      <c r="M65" s="52"/>
    </row>
    <row r="66" spans="2:13" s="41" customFormat="1" ht="16.05" hidden="1" customHeight="1" thickBot="1" x14ac:dyDescent="0.35">
      <c r="B66" s="56"/>
      <c r="E66" s="60"/>
      <c r="F66" s="2"/>
      <c r="G66" s="2"/>
      <c r="H66" s="2"/>
      <c r="I66" s="2"/>
      <c r="J66" s="2"/>
      <c r="K66" s="2"/>
      <c r="L66" s="2"/>
      <c r="M66" s="52"/>
    </row>
    <row r="67" spans="2:13" s="41" customFormat="1" ht="15.6" x14ac:dyDescent="0.3">
      <c r="B67" s="42" t="s">
        <v>24</v>
      </c>
      <c r="C67" s="67"/>
      <c r="D67" s="67"/>
      <c r="E67" s="68"/>
      <c r="F67" s="2"/>
      <c r="G67" s="2"/>
      <c r="H67" s="2"/>
      <c r="I67" s="2"/>
      <c r="J67" s="2"/>
      <c r="K67" s="2"/>
      <c r="L67" s="2"/>
      <c r="M67" s="52"/>
    </row>
    <row r="68" spans="2:13" s="41" customFormat="1" ht="15.6" x14ac:dyDescent="0.3">
      <c r="B68" s="42" t="s">
        <v>25</v>
      </c>
      <c r="C68" s="67"/>
      <c r="D68" s="67"/>
      <c r="E68" s="68"/>
      <c r="F68" s="2"/>
      <c r="G68" s="2"/>
      <c r="H68" s="2"/>
      <c r="I68" s="2"/>
      <c r="J68" s="2"/>
      <c r="K68" s="2"/>
      <c r="L68" s="2"/>
      <c r="M68" s="52"/>
    </row>
    <row r="69" spans="2:13" s="41" customFormat="1" ht="15.6" x14ac:dyDescent="0.3">
      <c r="B69" s="116" t="s">
        <v>26</v>
      </c>
      <c r="C69" s="69"/>
      <c r="D69" s="69"/>
      <c r="E69" s="70"/>
      <c r="F69" s="2"/>
      <c r="G69" s="2"/>
      <c r="H69" s="2"/>
      <c r="I69" s="2"/>
      <c r="J69" s="2"/>
      <c r="K69" s="2"/>
      <c r="L69" s="2"/>
      <c r="M69" s="52"/>
    </row>
    <row r="70" spans="2:13" s="41" customFormat="1" ht="15.6" x14ac:dyDescent="0.3">
      <c r="B70" s="42" t="s">
        <v>28</v>
      </c>
      <c r="C70" s="67"/>
      <c r="D70" s="67"/>
      <c r="E70" s="68"/>
      <c r="F70" s="2"/>
      <c r="G70" s="2"/>
      <c r="H70" s="2"/>
      <c r="I70" s="2"/>
      <c r="J70" s="2"/>
      <c r="K70" s="2"/>
      <c r="L70" s="2"/>
      <c r="M70" s="52"/>
    </row>
    <row r="71" spans="2:13" s="41" customFormat="1" ht="15.6" x14ac:dyDescent="0.3">
      <c r="B71" s="42" t="s">
        <v>30</v>
      </c>
      <c r="C71" s="69"/>
      <c r="D71" s="69"/>
      <c r="E71" s="70"/>
      <c r="F71" s="2"/>
      <c r="G71" s="2"/>
      <c r="H71" s="2"/>
      <c r="I71" s="2"/>
      <c r="J71" s="2"/>
      <c r="K71" s="2"/>
      <c r="L71" s="2"/>
      <c r="M71" s="52"/>
    </row>
    <row r="72" spans="2:13" s="41" customFormat="1" ht="16.2" thickBot="1" x14ac:dyDescent="0.35">
      <c r="B72" s="39" t="s">
        <v>32</v>
      </c>
      <c r="C72" s="71"/>
      <c r="D72" s="71"/>
      <c r="E72" s="72"/>
      <c r="F72" s="2"/>
      <c r="G72" s="2"/>
      <c r="H72" s="2"/>
      <c r="I72" s="2"/>
      <c r="J72" s="2"/>
      <c r="K72" s="2"/>
      <c r="L72" s="2"/>
      <c r="M72" s="52"/>
    </row>
    <row r="73" spans="2:13" s="41" customFormat="1" ht="15.6" x14ac:dyDescent="0.3">
      <c r="B73" s="90"/>
      <c r="C73" s="91"/>
      <c r="D73" s="91"/>
      <c r="E73" s="91"/>
      <c r="F73" s="2"/>
      <c r="G73" s="2"/>
      <c r="H73" s="2"/>
      <c r="I73" s="2"/>
      <c r="J73" s="2"/>
      <c r="K73" s="2"/>
      <c r="L73" s="2"/>
      <c r="M73" s="52"/>
    </row>
    <row r="74" spans="2:13" s="41" customFormat="1" ht="16.2" thickBot="1" x14ac:dyDescent="0.35"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52"/>
    </row>
    <row r="75" spans="2:13" s="41" customFormat="1" ht="15.6" x14ac:dyDescent="0.3">
      <c r="B75" s="104" t="s">
        <v>58</v>
      </c>
      <c r="C75" s="106" t="s">
        <v>5</v>
      </c>
      <c r="D75" s="107"/>
      <c r="E75" s="108"/>
      <c r="F75" s="109" t="s">
        <v>6</v>
      </c>
      <c r="G75" s="110"/>
      <c r="H75" s="110"/>
      <c r="I75" s="62"/>
      <c r="J75" s="45"/>
      <c r="M75" s="52"/>
    </row>
    <row r="76" spans="2:13" ht="29.55" customHeight="1" x14ac:dyDescent="0.3">
      <c r="B76" s="105"/>
      <c r="C76" s="31">
        <v>2027</v>
      </c>
      <c r="D76" s="31">
        <v>2028</v>
      </c>
      <c r="E76" s="31">
        <v>2029</v>
      </c>
      <c r="F76" s="32">
        <v>2030</v>
      </c>
      <c r="G76" s="32">
        <v>2031</v>
      </c>
      <c r="H76" s="32">
        <v>2032</v>
      </c>
      <c r="I76" s="61" t="s">
        <v>3</v>
      </c>
      <c r="J76" s="45"/>
    </row>
    <row r="77" spans="2:13" ht="15" customHeight="1" x14ac:dyDescent="0.25">
      <c r="B77" s="25" t="s">
        <v>48</v>
      </c>
      <c r="C77" s="63">
        <v>0</v>
      </c>
      <c r="D77" s="63">
        <v>0</v>
      </c>
      <c r="E77" s="63">
        <v>0</v>
      </c>
      <c r="F77" s="64">
        <v>0</v>
      </c>
      <c r="G77" s="64">
        <v>0</v>
      </c>
      <c r="H77" s="64">
        <v>0</v>
      </c>
      <c r="I77" s="65">
        <f>SUM(C77:H77)</f>
        <v>0</v>
      </c>
      <c r="J77" s="45"/>
    </row>
    <row r="78" spans="2:13" ht="16.2" thickBot="1" x14ac:dyDescent="0.35">
      <c r="B78" s="29" t="s">
        <v>65</v>
      </c>
      <c r="C78" s="66"/>
      <c r="D78" s="66"/>
      <c r="E78" s="66"/>
      <c r="F78" s="66"/>
      <c r="G78" s="66"/>
      <c r="H78" s="66"/>
      <c r="I78" s="30">
        <f>SUM(I77)</f>
        <v>0</v>
      </c>
      <c r="J78" s="45"/>
    </row>
    <row r="79" spans="2:13" s="78" customFormat="1" ht="15.6" x14ac:dyDescent="0.3">
      <c r="B79" s="21"/>
      <c r="C79" s="89"/>
      <c r="D79" s="89"/>
      <c r="E79" s="89"/>
      <c r="F79" s="89"/>
      <c r="G79" s="89"/>
      <c r="H79" s="89"/>
      <c r="I79" s="33"/>
      <c r="J79" s="45"/>
    </row>
    <row r="80" spans="2:13" ht="16.2" thickBot="1" x14ac:dyDescent="0.35">
      <c r="B80" s="4"/>
      <c r="D80" s="4"/>
      <c r="E80" s="1"/>
      <c r="F80" s="1"/>
      <c r="G80" s="1"/>
      <c r="H80" s="1"/>
      <c r="I80" s="1"/>
      <c r="J80" s="1"/>
      <c r="K80" s="1"/>
      <c r="L80" s="45"/>
    </row>
    <row r="81" spans="2:12" ht="15.6" x14ac:dyDescent="0.3">
      <c r="B81" s="44" t="s">
        <v>59</v>
      </c>
      <c r="C81" s="58" t="s">
        <v>17</v>
      </c>
      <c r="F81" s="1"/>
      <c r="G81" s="1"/>
      <c r="H81" s="1"/>
      <c r="I81" s="1"/>
      <c r="J81" s="1"/>
      <c r="K81" s="1"/>
      <c r="L81" s="45"/>
    </row>
    <row r="82" spans="2:12" ht="13.8" customHeight="1" x14ac:dyDescent="0.25">
      <c r="B82" s="25" t="s">
        <v>41</v>
      </c>
      <c r="C82" s="86"/>
      <c r="F82" s="1"/>
      <c r="G82" s="1"/>
      <c r="H82" s="1"/>
      <c r="I82" s="1"/>
      <c r="J82" s="1"/>
      <c r="K82" s="1"/>
      <c r="L82" s="45"/>
    </row>
    <row r="83" spans="2:12" ht="15" x14ac:dyDescent="0.25">
      <c r="B83" s="25" t="s">
        <v>42</v>
      </c>
      <c r="C83" s="86"/>
      <c r="F83" s="1"/>
      <c r="G83" s="1"/>
      <c r="H83" s="1"/>
      <c r="I83" s="1"/>
      <c r="J83" s="1"/>
      <c r="K83" s="1"/>
      <c r="L83" s="45"/>
    </row>
    <row r="84" spans="2:12" ht="15" x14ac:dyDescent="0.25">
      <c r="B84" s="25" t="s">
        <v>43</v>
      </c>
      <c r="C84" s="86"/>
      <c r="F84" s="1"/>
      <c r="G84" s="1"/>
      <c r="H84" s="1"/>
      <c r="I84" s="1"/>
      <c r="J84" s="1"/>
      <c r="K84" s="1"/>
      <c r="L84" s="45"/>
    </row>
    <row r="85" spans="2:12" ht="15.6" thickBot="1" x14ac:dyDescent="0.3">
      <c r="B85" s="87"/>
      <c r="C85" s="88"/>
      <c r="F85" s="1"/>
      <c r="G85" s="1"/>
      <c r="H85" s="1"/>
      <c r="I85" s="1"/>
      <c r="J85" s="1"/>
      <c r="K85" s="1"/>
      <c r="L85" s="45"/>
    </row>
    <row r="86" spans="2:12" ht="15" x14ac:dyDescent="0.25">
      <c r="B86" s="15"/>
      <c r="C86" s="15"/>
      <c r="D86" s="15"/>
      <c r="F86" s="1"/>
      <c r="G86" s="1"/>
      <c r="H86" s="1"/>
      <c r="I86" s="1"/>
      <c r="J86" s="1"/>
      <c r="K86" s="1"/>
      <c r="L86" s="45"/>
    </row>
    <row r="87" spans="2:12" ht="14.4" thickBot="1" x14ac:dyDescent="0.3"/>
    <row r="88" spans="2:12" x14ac:dyDescent="0.25">
      <c r="B88" s="104" t="s">
        <v>60</v>
      </c>
      <c r="C88" s="113" t="s">
        <v>18</v>
      </c>
      <c r="D88" s="113" t="s">
        <v>17</v>
      </c>
      <c r="E88" s="111" t="s">
        <v>33</v>
      </c>
    </row>
    <row r="89" spans="2:12" ht="18.600000000000001" customHeight="1" x14ac:dyDescent="0.25">
      <c r="B89" s="105"/>
      <c r="C89" s="114"/>
      <c r="D89" s="114"/>
      <c r="E89" s="112"/>
    </row>
    <row r="90" spans="2:12" ht="15" x14ac:dyDescent="0.25">
      <c r="B90" s="25" t="s">
        <v>14</v>
      </c>
      <c r="C90" s="92">
        <v>0.3</v>
      </c>
      <c r="D90" s="73"/>
      <c r="E90" s="74">
        <f>D90*C90</f>
        <v>0</v>
      </c>
    </row>
    <row r="91" spans="2:12" ht="15" x14ac:dyDescent="0.25">
      <c r="B91" s="25" t="s">
        <v>15</v>
      </c>
      <c r="C91" s="92">
        <v>0.5</v>
      </c>
      <c r="D91" s="73"/>
      <c r="E91" s="74">
        <f t="shared" ref="E91:E92" si="3">D91*C91</f>
        <v>0</v>
      </c>
    </row>
    <row r="92" spans="2:12" ht="15" x14ac:dyDescent="0.25">
      <c r="B92" s="25" t="s">
        <v>16</v>
      </c>
      <c r="C92" s="92">
        <v>0.2</v>
      </c>
      <c r="D92" s="73"/>
      <c r="E92" s="74">
        <f t="shared" si="3"/>
        <v>0</v>
      </c>
    </row>
    <row r="93" spans="2:12" ht="16.2" thickBot="1" x14ac:dyDescent="0.35">
      <c r="B93" s="29" t="s">
        <v>66</v>
      </c>
      <c r="C93" s="47"/>
      <c r="D93" s="37"/>
      <c r="E93" s="30">
        <f>SUM(E90:E92)</f>
        <v>0</v>
      </c>
    </row>
    <row r="95" spans="2:12" ht="14.4" thickBot="1" x14ac:dyDescent="0.3"/>
    <row r="96" spans="2:12" x14ac:dyDescent="0.25">
      <c r="B96" s="104" t="s">
        <v>13</v>
      </c>
      <c r="C96" s="111" t="s">
        <v>12</v>
      </c>
    </row>
    <row r="97" spans="2:3" x14ac:dyDescent="0.25">
      <c r="B97" s="105"/>
      <c r="C97" s="112"/>
    </row>
    <row r="98" spans="2:3" ht="15" x14ac:dyDescent="0.25">
      <c r="B98" s="25" t="s">
        <v>8</v>
      </c>
      <c r="C98" s="43">
        <f>C18</f>
        <v>0</v>
      </c>
    </row>
    <row r="99" spans="2:3" ht="15" x14ac:dyDescent="0.25">
      <c r="B99" s="25" t="s">
        <v>9</v>
      </c>
      <c r="C99" s="43">
        <f>E26</f>
        <v>0</v>
      </c>
    </row>
    <row r="100" spans="2:3" ht="15" x14ac:dyDescent="0.25">
      <c r="B100" s="25" t="s">
        <v>10</v>
      </c>
      <c r="C100" s="43">
        <f>E32</f>
        <v>0</v>
      </c>
    </row>
    <row r="101" spans="2:3" ht="15" x14ac:dyDescent="0.25">
      <c r="B101" s="25" t="s">
        <v>11</v>
      </c>
      <c r="C101" s="43">
        <f>E49</f>
        <v>0</v>
      </c>
    </row>
    <row r="102" spans="2:3" ht="15" x14ac:dyDescent="0.25">
      <c r="B102" s="25" t="s">
        <v>61</v>
      </c>
      <c r="C102" s="43">
        <f>I62</f>
        <v>0</v>
      </c>
    </row>
    <row r="103" spans="2:3" ht="15" x14ac:dyDescent="0.25">
      <c r="B103" s="25" t="s">
        <v>62</v>
      </c>
      <c r="C103" s="43">
        <f>I78</f>
        <v>0</v>
      </c>
    </row>
    <row r="104" spans="2:3" ht="18.600000000000001" customHeight="1" thickBot="1" x14ac:dyDescent="0.35">
      <c r="B104" s="29" t="s">
        <v>20</v>
      </c>
      <c r="C104" s="30">
        <f>SUM(C98:C103)</f>
        <v>0</v>
      </c>
    </row>
    <row r="105" spans="2:3" x14ac:dyDescent="0.25">
      <c r="B105" s="53"/>
    </row>
    <row r="112" spans="2:3" x14ac:dyDescent="0.25">
      <c r="B112" s="53"/>
    </row>
    <row r="120" spans="2:2" x14ac:dyDescent="0.25">
      <c r="B120" s="53"/>
    </row>
  </sheetData>
  <mergeCells count="20">
    <mergeCell ref="B75:B76"/>
    <mergeCell ref="C75:E75"/>
    <mergeCell ref="F53:H53"/>
    <mergeCell ref="F75:H75"/>
    <mergeCell ref="B96:B97"/>
    <mergeCell ref="C96:C97"/>
    <mergeCell ref="B88:B89"/>
    <mergeCell ref="C88:C89"/>
    <mergeCell ref="B53:B54"/>
    <mergeCell ref="C53:E53"/>
    <mergeCell ref="D88:D89"/>
    <mergeCell ref="E88:E89"/>
    <mergeCell ref="B4:C4"/>
    <mergeCell ref="B3:C3"/>
    <mergeCell ref="B35:B36"/>
    <mergeCell ref="C35:C36"/>
    <mergeCell ref="B64:E64"/>
    <mergeCell ref="B8:B9"/>
    <mergeCell ref="C8:C9"/>
    <mergeCell ref="E10:H11"/>
  </mergeCells>
  <phoneticPr fontId="17" type="noConversion"/>
  <pageMargins left="0.70866141732283472" right="0.70866141732283472" top="0.74803149606299213" bottom="0.74803149606299213" header="0.31496062992125984" footer="0.31496062992125984"/>
  <pageSetup paperSize="8" scale="50" orientation="portrait" horizontalDpi="4294967295" verticalDpi="4294967295" r:id="rId1"/>
  <colBreaks count="1" manualBreakCount="1">
    <brk id="12" max="116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708C91B17B9B4B900A54557596C73C" ma:contentTypeVersion="13" ma:contentTypeDescription="Opprett et nytt dokument." ma:contentTypeScope="" ma:versionID="f141e9e8d39f870ec2e6ef44bc39a2b8">
  <xsd:schema xmlns:xsd="http://www.w3.org/2001/XMLSchema" xmlns:xs="http://www.w3.org/2001/XMLSchema" xmlns:p="http://schemas.microsoft.com/office/2006/metadata/properties" xmlns:ns2="beae3e8e-208c-4b8a-be05-3e30f474ae01" xmlns:ns3="ae0bccca-83f7-48f6-8075-9614aef82b5e" targetNamespace="http://schemas.microsoft.com/office/2006/metadata/properties" ma:root="true" ma:fieldsID="119e90e4366e577ec59ec9adb7bb5bd6" ns2:_="" ns3:_="">
    <xsd:import namespace="beae3e8e-208c-4b8a-be05-3e30f474ae01"/>
    <xsd:import namespace="ae0bccca-83f7-48f6-8075-9614aef82b5e"/>
    <xsd:element name="properties">
      <xsd:complexType>
        <xsd:sequence>
          <xsd:element name="documentManagement">
            <xsd:complexType>
              <xsd:all>
                <xsd:element ref="ns2:h491b3e5757f4a00a7c25d6edb0ba887" minOccurs="0"/>
                <xsd:element ref="ns2:TaxCatchAll" minOccurs="0"/>
                <xsd:element ref="ns2:TaxCatchAllLabel" minOccurs="0"/>
                <xsd:element ref="ns2:Sak_x0020_Mime_x0020_360" minOccurs="0"/>
                <xsd:element ref="ns2:mdd69e788dc1498dbcc1a53e4b12ec9a" minOccurs="0"/>
                <xsd:element ref="ns2:m3df137df2ca43aeb5a0ac4f577ac654" minOccurs="0"/>
                <xsd:element ref="ns2:Status_x005f_x0020_journalf_x005f_x00f8_ring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e3e8e-208c-4b8a-be05-3e30f474ae01" elementFormDefault="qualified">
    <xsd:import namespace="http://schemas.microsoft.com/office/2006/documentManagement/types"/>
    <xsd:import namespace="http://schemas.microsoft.com/office/infopath/2007/PartnerControls"/>
    <xsd:element name="h491b3e5757f4a00a7c25d6edb0ba887" ma:index="8" nillable="true" ma:taxonomy="true" ma:internalName="h491b3e5757f4a00a7c25d6edb0ba887" ma:taxonomyFieldName="Organisasjonsenhet" ma:displayName="Organisasjonsenhet" ma:default="" ma:fieldId="{1491b3e5-757f-4a00-a7c2-5d6edb0ba887}" ma:taxonomyMulti="true" ma:sspId="4c297bfe-2ddf-49c0-b48d-5e3f9de3295d" ma:termSetId="b03cc634-47d7-450d-b53d-2863e925e78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0f62d3ff-b749-4af9-b996-1a2f8e84d56e}" ma:internalName="TaxCatchAll" ma:showField="CatchAllData" ma:web="42e58d5f-8804-4246-aa6d-d73046cbb0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f62d3ff-b749-4af9-b996-1a2f8e84d56e}" ma:internalName="TaxCatchAllLabel" ma:readOnly="true" ma:showField="CatchAllDataLabel" ma:web="42e58d5f-8804-4246-aa6d-d73046cbb0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ak_x0020_Mime_x0020_360" ma:index="12" nillable="true" ma:displayName="Sak Mime 360" ma:format="Hyperlink" ma:internalName="Sak_x0020_Mime_x0020_360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dd69e788dc1498dbcc1a53e4b12ec9a" ma:index="13" nillable="true" ma:taxonomy="true" ma:internalName="mdd69e788dc1498dbcc1a53e4b12ec9a" ma:taxonomyFieldName="Dokumentstatus" ma:displayName="Dokumentstatus" ma:default="1;#Under arbeid|f39d8bcc-2a80-4417-a67a-9134b0a418c4" ma:fieldId="{6dd69e78-8dc1-498d-bcc1-a53e4b12ec9a}" ma:sspId="4c297bfe-2ddf-49c0-b48d-5e3f9de3295d" ma:termSetId="79c2f50f-9c9d-4b9a-9024-7430fd4a1c7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3df137df2ca43aeb5a0ac4f577ac654" ma:index="15" nillable="true" ma:taxonomy="true" ma:internalName="m3df137df2ca43aeb5a0ac4f577ac654" ma:taxonomyFieldName="Prosessomr_x00e5_der" ma:displayName="Prosessområder" ma:default="" ma:fieldId="{63df137d-f2ca-43ae-b5a0-ac4f577ac654}" ma:sspId="4c297bfe-2ddf-49c0-b48d-5e3f9de3295d" ma:termSetId="2583bc30-ab2c-419c-b519-aebcd66245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tatus_x005f_x0020_journalf_x005f_x00f8_ring" ma:index="17" nillable="true" ma:displayName="Status journalføring" ma:internalName="Status_x0020_journalf_x00f8_ri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0bccca-83f7-48f6-8075-9614aef82b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Bildemerkelapper" ma:readOnly="false" ma:fieldId="{5cf76f15-5ced-4ddc-b409-7134ff3c332f}" ma:taxonomyMulti="true" ma:sspId="4c297bfe-2ddf-49c0-b48d-5e3f9de329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4c297bfe-2ddf-49c0-b48d-5e3f9de3295d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ae3e8e-208c-4b8a-be05-3e30f474ae01">
      <Value>1</Value>
    </TaxCatchAll>
    <lcf76f155ced4ddcb4097134ff3c332f xmlns="ae0bccca-83f7-48f6-8075-9614aef82b5e">
      <Terms xmlns="http://schemas.microsoft.com/office/infopath/2007/PartnerControls"/>
    </lcf76f155ced4ddcb4097134ff3c332f>
    <Status_x005f_x0020_journalf_x005f_x00f8_ring xmlns="beae3e8e-208c-4b8a-be05-3e30f474ae01" xsi:nil="true"/>
    <h491b3e5757f4a00a7c25d6edb0ba887 xmlns="beae3e8e-208c-4b8a-be05-3e30f474ae01">
      <Terms xmlns="http://schemas.microsoft.com/office/infopath/2007/PartnerControls"/>
    </h491b3e5757f4a00a7c25d6edb0ba887>
    <m3df137df2ca43aeb5a0ac4f577ac654 xmlns="beae3e8e-208c-4b8a-be05-3e30f474ae01">
      <Terms xmlns="http://schemas.microsoft.com/office/infopath/2007/PartnerControls"/>
    </m3df137df2ca43aeb5a0ac4f577ac654>
    <Sak_x0020_Mime_x0020_360 xmlns="beae3e8e-208c-4b8a-be05-3e30f474ae01">
      <Url xsi:nil="true"/>
      <Description xsi:nil="true"/>
    </Sak_x0020_Mime_x0020_360>
    <mdd69e788dc1498dbcc1a53e4b12ec9a xmlns="beae3e8e-208c-4b8a-be05-3e30f474ae01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Under arbeid</TermName>
          <TermId xmlns="http://schemas.microsoft.com/office/infopath/2007/PartnerControls">f39d8bcc-2a80-4417-a67a-9134b0a418c4</TermId>
        </TermInfo>
      </Terms>
    </mdd69e788dc1498dbcc1a53e4b12ec9a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5AEAFF-424E-4456-B1CF-EFDEA72ED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ae3e8e-208c-4b8a-be05-3e30f474ae01"/>
    <ds:schemaRef ds:uri="ae0bccca-83f7-48f6-8075-9614aef82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4A42B4-1FA0-4D45-A6CA-8CBD544415C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AABDF91-0226-441A-B0F3-CCE39183A83C}">
  <ds:schemaRefs>
    <ds:schemaRef ds:uri="http://schemas.openxmlformats.org/package/2006/metadata/core-properties"/>
    <ds:schemaRef ds:uri="beae3e8e-208c-4b8a-be05-3e30f474ae01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390742ca-2ea2-4edb-ab5a-df35aaf0d767"/>
    <ds:schemaRef ds:uri="http://schemas.microsoft.com/sharepoint/v3"/>
    <ds:schemaRef ds:uri="http://purl.org/dc/terms/"/>
    <ds:schemaRef ds:uri="5cb46313-1c9d-4364-a016-867c7284cdd4"/>
    <ds:schemaRef ds:uri="http://www.w3.org/XML/1998/namespace"/>
    <ds:schemaRef ds:uri="http://purl.org/dc/dcmitype/"/>
    <ds:schemaRef ds:uri="ae0bccca-83f7-48f6-8075-9614aef82b5e"/>
  </ds:schemaRefs>
</ds:datastoreItem>
</file>

<file path=customXml/itemProps4.xml><?xml version="1.0" encoding="utf-8"?>
<ds:datastoreItem xmlns:ds="http://schemas.openxmlformats.org/officeDocument/2006/customXml" ds:itemID="{27A8993B-AE97-4C9A-A419-070BB1C917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DOK.LØSNING</vt:lpstr>
      <vt:lpstr>DOK.LØSNING!Utskriftsområde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Vassli, Heidi</dc:creator>
  <cp:keywords/>
  <dc:description/>
  <cp:lastModifiedBy>Knud Eddie Nordin</cp:lastModifiedBy>
  <cp:revision/>
  <cp:lastPrinted>2022-05-13T06:01:48Z</cp:lastPrinted>
  <dcterms:created xsi:type="dcterms:W3CDTF">2021-11-08T07:21:24Z</dcterms:created>
  <dcterms:modified xsi:type="dcterms:W3CDTF">2026-02-25T11:15:45Z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0x010100D2708C91B17B9B4B900A54557596C73C</vt:lpwstr>
  </property>
  <property fmtid="{D5CDD505-2E9C-101B-9397-08002B2CF9AE}" pid="3" name="Order">
    <vt:r8>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SIP_Label_86eae731-f11e-4017-952e-3dce43580afc_Enabled">
    <vt:lpwstr>true</vt:lpwstr>
  </property>
  <property fmtid="{D5CDD505-2E9C-101B-9397-08002B2CF9AE}" pid="11" name="MSIP_Label_86eae731-f11e-4017-952e-3dce43580afc_SetDate">
    <vt:lpwstr>2024-05-15T13:53:44Z</vt:lpwstr>
  </property>
  <property fmtid="{D5CDD505-2E9C-101B-9397-08002B2CF9AE}" pid="12" name="MSIP_Label_86eae731-f11e-4017-952e-3dce43580afc_Method">
    <vt:lpwstr>Privileged</vt:lpwstr>
  </property>
  <property fmtid="{D5CDD505-2E9C-101B-9397-08002B2CF9AE}" pid="13" name="MSIP_Label_86eae731-f11e-4017-952e-3dce43580afc_Name">
    <vt:lpwstr>Public-new</vt:lpwstr>
  </property>
  <property fmtid="{D5CDD505-2E9C-101B-9397-08002B2CF9AE}" pid="14" name="MSIP_Label_86eae731-f11e-4017-952e-3dce43580afc_SiteId">
    <vt:lpwstr>38856954-ed55-49f7-8bdd-738ffbbfd390</vt:lpwstr>
  </property>
  <property fmtid="{D5CDD505-2E9C-101B-9397-08002B2CF9AE}" pid="15" name="MSIP_Label_86eae731-f11e-4017-952e-3dce43580afc_ActionId">
    <vt:lpwstr>028b198b-1cab-45a5-ba5d-88e278f6ce46</vt:lpwstr>
  </property>
  <property fmtid="{D5CDD505-2E9C-101B-9397-08002B2CF9AE}" pid="16" name="MSIP_Label_86eae731-f11e-4017-952e-3dce43580afc_ContentBits">
    <vt:lpwstr>0</vt:lpwstr>
  </property>
  <property fmtid="{D5CDD505-2E9C-101B-9397-08002B2CF9AE}" pid="17" name="mdd69e788dc1498dbcc1a53e4b12ec9a">
    <vt:lpwstr>Under arbeid|f39d8bcc-2a80-4417-a67a-9134b0a418c4</vt:lpwstr>
  </property>
  <property fmtid="{D5CDD505-2E9C-101B-9397-08002B2CF9AE}" pid="18" name="h491b3e5757f4a00a7c25d6edb0ba887">
    <vt:lpwstr/>
  </property>
  <property fmtid="{D5CDD505-2E9C-101B-9397-08002B2CF9AE}" pid="19" name="MediaServiceImageTags">
    <vt:lpwstr/>
  </property>
  <property fmtid="{D5CDD505-2E9C-101B-9397-08002B2CF9AE}" pid="20" name="Dokumentkategori">
    <vt:lpwstr/>
  </property>
  <property fmtid="{D5CDD505-2E9C-101B-9397-08002B2CF9AE}" pid="21" name="Fase">
    <vt:lpwstr/>
  </property>
  <property fmtid="{D5CDD505-2E9C-101B-9397-08002B2CF9AE}" pid="22" name="Prosessomr_x00e5_der">
    <vt:lpwstr/>
  </property>
  <property fmtid="{D5CDD505-2E9C-101B-9397-08002B2CF9AE}" pid="23" name="Dokumentstatus">
    <vt:lpwstr>1;#Under arbeid|f39d8bcc-2a80-4417-a67a-9134b0a418c4</vt:lpwstr>
  </property>
  <property fmtid="{D5CDD505-2E9C-101B-9397-08002B2CF9AE}" pid="24" name="Organisasjonsenhet">
    <vt:lpwstr/>
  </property>
  <property fmtid="{D5CDD505-2E9C-101B-9397-08002B2CF9AE}" pid="25" name="m3df137df2ca43aeb5a0ac4f577ac654">
    <vt:lpwstr/>
  </property>
  <property fmtid="{D5CDD505-2E9C-101B-9397-08002B2CF9AE}" pid="26" name="Prosessområder">
    <vt:lpwstr/>
  </property>
</Properties>
</file>